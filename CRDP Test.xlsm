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0261255\Documents\PythonLab\CRDP-Excel\"/>
    </mc:Choice>
  </mc:AlternateContent>
  <xr:revisionPtr revIDLastSave="0" documentId="13_ncr:1_{4AF0133E-C7A5-422D-93E7-5B2459EE3806}" xr6:coauthVersionLast="47" xr6:coauthVersionMax="47" xr10:uidLastSave="{00000000-0000-0000-0000-000000000000}"/>
  <bookViews>
    <workbookView xWindow="1440" yWindow="1740" windowWidth="26220" windowHeight="13215" xr2:uid="{5C1671B1-B343-4751-B49C-8C635650C5E5}"/>
  </bookViews>
  <sheets>
    <sheet name="Protect Only" sheetId="1" r:id="rId1"/>
    <sheet name="Reveal Only" sheetId="2" r:id="rId2"/>
    <sheet name="Policie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" l="1"/>
  <c r="H3" i="1"/>
  <c r="H2" i="1"/>
  <c r="I2" i="1" a="1"/>
  <c r="G4" i="2" a="1"/>
  <c r="G5" i="2" a="1"/>
  <c r="G2" i="2" a="1"/>
  <c r="E2" i="1" a="1"/>
  <c r="F2" i="1" a="1"/>
  <c r="E3" i="1" a="1"/>
  <c r="I3" i="1" a="1"/>
  <c r="F3" i="1" a="1"/>
  <c r="E3" i="1" l="1"/>
  <c r="L3" i="1" s="1"/>
  <c r="N3" i="1" s="1"/>
  <c r="F2" i="1"/>
  <c r="I3" i="1"/>
  <c r="J3" i="1" s="1"/>
  <c r="F3" i="1"/>
  <c r="E2" i="1"/>
  <c r="L2" i="1" s="1"/>
  <c r="N2" i="1" s="1"/>
  <c r="G5" i="2"/>
  <c r="G4" i="2"/>
  <c r="C4" i="1"/>
  <c r="C5" i="1" s="1"/>
  <c r="I2" i="1"/>
  <c r="J2" i="1" s="1"/>
  <c r="G2" i="2"/>
  <c r="I4" i="1" a="1"/>
  <c r="G23" i="2" a="1"/>
  <c r="G10" i="2" a="1"/>
  <c r="G32" i="2" a="1"/>
  <c r="G8" i="2" a="1"/>
  <c r="G26" i="2" a="1"/>
  <c r="G6" i="2" a="1"/>
  <c r="G14" i="2" a="1"/>
  <c r="G19" i="2" a="1"/>
  <c r="G28" i="2" a="1"/>
  <c r="G29" i="2" a="1"/>
  <c r="G22" i="2" a="1"/>
  <c r="G7" i="2" a="1"/>
  <c r="G25" i="2" a="1"/>
  <c r="G3" i="2" a="1"/>
  <c r="G34" i="2" a="1"/>
  <c r="G11" i="2" a="1"/>
  <c r="G13" i="2" a="1"/>
  <c r="G17" i="2" a="1"/>
  <c r="G16" i="2" a="1"/>
  <c r="G20" i="2" a="1"/>
  <c r="G31" i="2" a="1"/>
  <c r="E4" i="1" a="1"/>
  <c r="F4" i="1" a="1"/>
  <c r="F4" i="1" l="1"/>
  <c r="C6" i="1"/>
  <c r="D5" i="1"/>
  <c r="I4" i="1"/>
  <c r="E4" i="1"/>
  <c r="L4" i="1" s="1"/>
  <c r="N4" i="1" s="1"/>
  <c r="H4" i="1"/>
  <c r="G28" i="2"/>
  <c r="G22" i="2"/>
  <c r="G29" i="2"/>
  <c r="G23" i="2"/>
  <c r="G16" i="2"/>
  <c r="G11" i="2"/>
  <c r="G13" i="2"/>
  <c r="G17" i="2"/>
  <c r="G10" i="2"/>
  <c r="G19" i="2"/>
  <c r="G32" i="2"/>
  <c r="G7" i="2"/>
  <c r="G3" i="2"/>
  <c r="G20" i="2"/>
  <c r="G6" i="2"/>
  <c r="G34" i="2"/>
  <c r="G31" i="2"/>
  <c r="G26" i="2"/>
  <c r="G14" i="2"/>
  <c r="G25" i="2"/>
  <c r="G8" i="2"/>
  <c r="I5" i="1" a="1"/>
  <c r="G21" i="2" a="1"/>
  <c r="G27" i="2" a="1"/>
  <c r="G9" i="2" a="1"/>
  <c r="G18" i="2" a="1"/>
  <c r="G33" i="2" a="1"/>
  <c r="G12" i="2" a="1"/>
  <c r="G15" i="2" a="1"/>
  <c r="G30" i="2" a="1"/>
  <c r="G35" i="2" a="1"/>
  <c r="G36" i="2" a="1"/>
  <c r="G24" i="2" a="1"/>
  <c r="E5" i="1" a="1"/>
  <c r="F5" i="1" a="1"/>
  <c r="F5" i="1" l="1"/>
  <c r="E5" i="1"/>
  <c r="L5" i="1" s="1"/>
  <c r="N5" i="1" s="1"/>
  <c r="I5" i="1"/>
  <c r="C7" i="1"/>
  <c r="D6" i="1"/>
  <c r="H5" i="1"/>
  <c r="J4" i="1"/>
  <c r="G21" i="2"/>
  <c r="G15" i="2"/>
  <c r="G24" i="2"/>
  <c r="G33" i="2"/>
  <c r="G9" i="2"/>
  <c r="G18" i="2"/>
  <c r="G27" i="2"/>
  <c r="G36" i="2"/>
  <c r="G12" i="2"/>
  <c r="G30" i="2"/>
  <c r="G35" i="2"/>
  <c r="I6" i="1" a="1"/>
  <c r="G37" i="2" a="1"/>
  <c r="E6" i="1" a="1"/>
  <c r="F6" i="1" a="1"/>
  <c r="F6" i="1" l="1"/>
  <c r="E6" i="1"/>
  <c r="L6" i="1" s="1"/>
  <c r="N6" i="1" s="1"/>
  <c r="I6" i="1"/>
  <c r="H6" i="1"/>
  <c r="C8" i="1"/>
  <c r="D7" i="1"/>
  <c r="J5" i="1"/>
  <c r="G37" i="2"/>
  <c r="G38" i="2" a="1"/>
  <c r="E7" i="1" a="1"/>
  <c r="F7" i="1" a="1"/>
  <c r="F7" i="1" l="1"/>
  <c r="E7" i="1"/>
  <c r="J6" i="1"/>
  <c r="C9" i="1"/>
  <c r="D8" i="1"/>
  <c r="G38" i="2"/>
  <c r="G39" i="2" a="1"/>
  <c r="E8" i="1" a="1"/>
  <c r="F8" i="1" a="1"/>
  <c r="E8" i="1" l="1"/>
  <c r="F8" i="1"/>
  <c r="C10" i="1"/>
  <c r="D9" i="1"/>
  <c r="G39" i="2"/>
  <c r="G40" i="2" a="1"/>
  <c r="F9" i="1" a="1"/>
  <c r="E9" i="1" a="1"/>
  <c r="F9" i="1" l="1"/>
  <c r="E9" i="1"/>
  <c r="C11" i="1"/>
  <c r="D10" i="1"/>
  <c r="G40" i="2"/>
  <c r="G41" i="2" a="1"/>
  <c r="E10" i="1" a="1"/>
  <c r="F10" i="1" a="1"/>
  <c r="E10" i="1" l="1"/>
  <c r="F10" i="1"/>
  <c r="C12" i="1"/>
  <c r="D11" i="1"/>
  <c r="G41" i="2"/>
  <c r="G42" i="2" a="1"/>
  <c r="F11" i="1" a="1"/>
  <c r="E11" i="1" a="1"/>
  <c r="E11" i="1" l="1"/>
  <c r="F11" i="1"/>
  <c r="C13" i="1"/>
  <c r="D12" i="1"/>
  <c r="G42" i="2"/>
  <c r="G43" i="2" a="1"/>
  <c r="F12" i="1" a="1"/>
  <c r="E12" i="1" a="1"/>
  <c r="E12" i="1" l="1"/>
  <c r="F12" i="1"/>
  <c r="C14" i="1"/>
  <c r="D13" i="1"/>
  <c r="G43" i="2"/>
  <c r="G44" i="2" a="1"/>
  <c r="F13" i="1" a="1"/>
  <c r="E13" i="1" a="1"/>
  <c r="E13" i="1" l="1"/>
  <c r="F13" i="1"/>
  <c r="C15" i="1"/>
  <c r="D14" i="1"/>
  <c r="G44" i="2"/>
  <c r="G45" i="2" a="1"/>
  <c r="E14" i="1" a="1"/>
  <c r="F14" i="1" a="1"/>
  <c r="E14" i="1" l="1"/>
  <c r="F14" i="1"/>
  <c r="C16" i="1"/>
  <c r="D15" i="1"/>
  <c r="G45" i="2"/>
  <c r="G46" i="2" a="1"/>
  <c r="F15" i="1" a="1"/>
  <c r="E15" i="1" a="1"/>
  <c r="F15" i="1" l="1"/>
  <c r="E15" i="1"/>
  <c r="D16" i="1"/>
  <c r="C17" i="1"/>
  <c r="G46" i="2"/>
  <c r="G47" i="2" a="1"/>
  <c r="F16" i="1" a="1"/>
  <c r="E16" i="1" a="1"/>
  <c r="F16" i="1" l="1"/>
  <c r="E16" i="1"/>
  <c r="D17" i="1"/>
  <c r="C18" i="1"/>
  <c r="G47" i="2"/>
  <c r="G48" i="2" a="1"/>
  <c r="F17" i="1" a="1"/>
  <c r="E17" i="1" a="1"/>
  <c r="F17" i="1" l="1"/>
  <c r="E17" i="1"/>
  <c r="C19" i="1"/>
  <c r="D18" i="1"/>
  <c r="G48" i="2"/>
  <c r="G49" i="2" a="1"/>
  <c r="F18" i="1" a="1"/>
  <c r="E18" i="1" a="1"/>
  <c r="E18" i="1" l="1"/>
  <c r="F18" i="1"/>
  <c r="D19" i="1"/>
  <c r="C20" i="1"/>
  <c r="G49" i="2"/>
  <c r="G50" i="2" a="1"/>
  <c r="F19" i="1" a="1"/>
  <c r="E19" i="1" a="1"/>
  <c r="F19" i="1" l="1"/>
  <c r="E19" i="1"/>
  <c r="D20" i="1"/>
  <c r="C21" i="1"/>
  <c r="G50" i="2"/>
  <c r="G51" i="2" a="1"/>
  <c r="E20" i="1" a="1"/>
  <c r="F20" i="1" a="1"/>
  <c r="E20" i="1" l="1"/>
  <c r="F20" i="1"/>
  <c r="D21" i="1"/>
  <c r="C22" i="1"/>
  <c r="G51" i="2"/>
  <c r="G52" i="2" a="1"/>
  <c r="F21" i="1" a="1"/>
  <c r="E21" i="1" a="1"/>
  <c r="E21" i="1" l="1"/>
  <c r="F21" i="1"/>
  <c r="D22" i="1"/>
  <c r="C23" i="1"/>
  <c r="G52" i="2"/>
  <c r="G53" i="2" a="1"/>
  <c r="E22" i="1" a="1"/>
  <c r="F22" i="1" a="1"/>
  <c r="E22" i="1" l="1"/>
  <c r="F22" i="1"/>
  <c r="D23" i="1"/>
  <c r="C24" i="1"/>
  <c r="G53" i="2"/>
  <c r="G54" i="2" a="1"/>
  <c r="F23" i="1" a="1"/>
  <c r="E23" i="1" a="1"/>
  <c r="F23" i="1" l="1"/>
  <c r="E23" i="1"/>
  <c r="C25" i="1"/>
  <c r="D24" i="1"/>
  <c r="G54" i="2"/>
  <c r="G55" i="2" a="1"/>
  <c r="E24" i="1" a="1"/>
  <c r="F24" i="1" a="1"/>
  <c r="E24" i="1" l="1"/>
  <c r="F24" i="1"/>
  <c r="C26" i="1"/>
  <c r="D25" i="1"/>
  <c r="G55" i="2"/>
  <c r="G56" i="2" a="1"/>
  <c r="E25" i="1" a="1"/>
  <c r="F25" i="1" a="1"/>
  <c r="F25" i="1" l="1"/>
  <c r="E25" i="1"/>
  <c r="D26" i="1"/>
  <c r="C27" i="1"/>
  <c r="G56" i="2"/>
  <c r="G57" i="2" a="1"/>
  <c r="F26" i="1" a="1"/>
  <c r="E26" i="1" a="1"/>
  <c r="F26" i="1" l="1"/>
  <c r="E26" i="1"/>
  <c r="D27" i="1"/>
  <c r="C28" i="1"/>
  <c r="G57" i="2"/>
  <c r="G58" i="2" a="1"/>
  <c r="E27" i="1" a="1"/>
  <c r="F27" i="1" a="1"/>
  <c r="E27" i="1" l="1"/>
  <c r="F27" i="1"/>
  <c r="C29" i="1"/>
  <c r="D28" i="1"/>
  <c r="G58" i="2"/>
  <c r="G59" i="2" a="1"/>
  <c r="E28" i="1" a="1"/>
  <c r="F28" i="1" a="1"/>
  <c r="F28" i="1" l="1"/>
  <c r="E28" i="1"/>
  <c r="D29" i="1"/>
  <c r="C30" i="1"/>
  <c r="G59" i="2"/>
  <c r="G60" i="2" a="1"/>
  <c r="E29" i="1" a="1"/>
  <c r="F29" i="1" a="1"/>
  <c r="E29" i="1" l="1"/>
  <c r="F29" i="1"/>
  <c r="C31" i="1"/>
  <c r="D30" i="1"/>
  <c r="G60" i="2"/>
  <c r="G61" i="2" a="1"/>
  <c r="F30" i="1" a="1"/>
  <c r="E30" i="1" a="1"/>
  <c r="F30" i="1" l="1"/>
  <c r="E30" i="1"/>
  <c r="C32" i="1"/>
  <c r="D31" i="1"/>
  <c r="G61" i="2"/>
  <c r="G62" i="2" a="1"/>
  <c r="F31" i="1" a="1"/>
  <c r="E31" i="1" a="1"/>
  <c r="E31" i="1" l="1"/>
  <c r="F31" i="1"/>
  <c r="C33" i="1"/>
  <c r="D32" i="1"/>
  <c r="G62" i="2"/>
  <c r="G63" i="2" a="1"/>
  <c r="F32" i="1" a="1"/>
  <c r="E32" i="1" a="1"/>
  <c r="F32" i="1" l="1"/>
  <c r="E32" i="1"/>
  <c r="C34" i="1"/>
  <c r="D33" i="1"/>
  <c r="G63" i="2"/>
  <c r="G64" i="2" a="1"/>
  <c r="F33" i="1" a="1"/>
  <c r="E33" i="1" a="1"/>
  <c r="E33" i="1" l="1"/>
  <c r="F33" i="1"/>
  <c r="D34" i="1"/>
  <c r="C35" i="1"/>
  <c r="G64" i="2"/>
  <c r="G65" i="2" a="1"/>
  <c r="F34" i="1" a="1"/>
  <c r="E34" i="1" a="1"/>
  <c r="E34" i="1" l="1"/>
  <c r="F34" i="1"/>
  <c r="D35" i="1"/>
  <c r="C36" i="1"/>
  <c r="G65" i="2"/>
  <c r="G66" i="2" a="1"/>
  <c r="E35" i="1" a="1"/>
  <c r="F35" i="1" a="1"/>
  <c r="E35" i="1" l="1"/>
  <c r="F35" i="1"/>
  <c r="C37" i="1"/>
  <c r="D36" i="1"/>
  <c r="G66" i="2"/>
  <c r="G67" i="2" a="1"/>
  <c r="F36" i="1" a="1"/>
  <c r="E36" i="1" a="1"/>
  <c r="F36" i="1" l="1"/>
  <c r="E36" i="1"/>
  <c r="D37" i="1"/>
  <c r="C38" i="1"/>
  <c r="G67" i="2"/>
  <c r="G68" i="2" a="1"/>
  <c r="F37" i="1" a="1"/>
  <c r="E37" i="1" a="1"/>
  <c r="E37" i="1" l="1"/>
  <c r="F37" i="1"/>
  <c r="D38" i="1"/>
  <c r="C39" i="1"/>
  <c r="G68" i="2"/>
  <c r="G69" i="2" a="1"/>
  <c r="F38" i="1" a="1"/>
  <c r="E38" i="1" a="1"/>
  <c r="F38" i="1" l="1"/>
  <c r="E38" i="1"/>
  <c r="C40" i="1"/>
  <c r="D39" i="1"/>
  <c r="G69" i="2"/>
  <c r="G70" i="2" a="1"/>
  <c r="F39" i="1" a="1"/>
  <c r="E39" i="1" a="1"/>
  <c r="E39" i="1" l="1"/>
  <c r="F39" i="1"/>
  <c r="D40" i="1"/>
  <c r="C41" i="1"/>
  <c r="G70" i="2"/>
  <c r="G71" i="2" a="1"/>
  <c r="F40" i="1" a="1"/>
  <c r="E40" i="1" a="1"/>
  <c r="E40" i="1" l="1"/>
  <c r="F40" i="1"/>
  <c r="D41" i="1"/>
  <c r="C42" i="1"/>
  <c r="G71" i="2"/>
  <c r="G72" i="2" a="1"/>
  <c r="F41" i="1" a="1"/>
  <c r="E41" i="1" a="1"/>
  <c r="F41" i="1" l="1"/>
  <c r="E41" i="1"/>
  <c r="C43" i="1"/>
  <c r="D42" i="1"/>
  <c r="G72" i="2"/>
  <c r="G73" i="2" a="1"/>
  <c r="F42" i="1" a="1"/>
  <c r="E42" i="1" a="1"/>
  <c r="F42" i="1" l="1"/>
  <c r="E42" i="1"/>
  <c r="D43" i="1"/>
  <c r="C44" i="1"/>
  <c r="G73" i="2"/>
  <c r="G74" i="2" a="1"/>
  <c r="E43" i="1" a="1"/>
  <c r="F43" i="1" a="1"/>
  <c r="F43" i="1" l="1"/>
  <c r="E43" i="1"/>
  <c r="C45" i="1"/>
  <c r="D44" i="1"/>
  <c r="G74" i="2"/>
  <c r="G75" i="2" a="1"/>
  <c r="F44" i="1" a="1"/>
  <c r="E44" i="1" a="1"/>
  <c r="E44" i="1" l="1"/>
  <c r="F44" i="1"/>
  <c r="C46" i="1"/>
  <c r="D45" i="1"/>
  <c r="G75" i="2"/>
  <c r="G76" i="2" a="1"/>
  <c r="E45" i="1" a="1"/>
  <c r="F45" i="1" a="1"/>
  <c r="F45" i="1" l="1"/>
  <c r="E45" i="1"/>
  <c r="C47" i="1"/>
  <c r="D46" i="1"/>
  <c r="G76" i="2"/>
  <c r="G77" i="2" a="1"/>
  <c r="F46" i="1" a="1"/>
  <c r="E46" i="1" a="1"/>
  <c r="F46" i="1" l="1"/>
  <c r="E46" i="1"/>
  <c r="D47" i="1"/>
  <c r="C48" i="1"/>
  <c r="G77" i="2"/>
  <c r="G78" i="2" a="1"/>
  <c r="E47" i="1" a="1"/>
  <c r="F47" i="1" a="1"/>
  <c r="E47" i="1" l="1"/>
  <c r="F47" i="1"/>
  <c r="C49" i="1"/>
  <c r="D48" i="1"/>
  <c r="G78" i="2"/>
  <c r="G79" i="2" a="1"/>
  <c r="E48" i="1" a="1"/>
  <c r="F48" i="1" a="1"/>
  <c r="F48" i="1" l="1"/>
  <c r="E48" i="1"/>
  <c r="D49" i="1"/>
  <c r="C50" i="1"/>
  <c r="G79" i="2"/>
  <c r="G80" i="2" a="1"/>
  <c r="F49" i="1" a="1"/>
  <c r="E49" i="1" a="1"/>
  <c r="E49" i="1" l="1"/>
  <c r="F49" i="1"/>
  <c r="D50" i="1"/>
  <c r="C51" i="1"/>
  <c r="G80" i="2"/>
  <c r="G81" i="2" a="1"/>
  <c r="F50" i="1" a="1"/>
  <c r="E50" i="1" a="1"/>
  <c r="F50" i="1" l="1"/>
  <c r="E50" i="1"/>
  <c r="C52" i="1"/>
  <c r="D51" i="1"/>
  <c r="G81" i="2"/>
  <c r="G82" i="2" a="1"/>
  <c r="E51" i="1" a="1"/>
  <c r="F51" i="1" a="1"/>
  <c r="E51" i="1" l="1"/>
  <c r="F51" i="1"/>
  <c r="C53" i="1"/>
  <c r="D52" i="1"/>
  <c r="G82" i="2"/>
  <c r="G83" i="2" a="1"/>
  <c r="F52" i="1" a="1"/>
  <c r="E52" i="1" a="1"/>
  <c r="F52" i="1" l="1"/>
  <c r="E52" i="1"/>
  <c r="D53" i="1"/>
  <c r="C54" i="1"/>
  <c r="G83" i="2"/>
  <c r="G84" i="2" a="1"/>
  <c r="E53" i="1" a="1"/>
  <c r="F53" i="1" a="1"/>
  <c r="F53" i="1" l="1"/>
  <c r="E53" i="1"/>
  <c r="D54" i="1"/>
  <c r="C55" i="1"/>
  <c r="G84" i="2"/>
  <c r="G85" i="2" a="1"/>
  <c r="F54" i="1" a="1"/>
  <c r="E54" i="1" a="1"/>
  <c r="F54" i="1" l="1"/>
  <c r="E54" i="1"/>
  <c r="D55" i="1"/>
  <c r="C56" i="1"/>
  <c r="G85" i="2"/>
  <c r="G86" i="2" a="1"/>
  <c r="F55" i="1" a="1"/>
  <c r="E55" i="1" a="1"/>
  <c r="E55" i="1" l="1"/>
  <c r="F55" i="1"/>
  <c r="C57" i="1"/>
  <c r="D56" i="1"/>
  <c r="G86" i="2"/>
  <c r="G87" i="2" a="1"/>
  <c r="E56" i="1" a="1"/>
  <c r="F56" i="1" a="1"/>
  <c r="E56" i="1" l="1"/>
  <c r="F56" i="1"/>
  <c r="D57" i="1"/>
  <c r="C58" i="1"/>
  <c r="G87" i="2"/>
  <c r="G88" i="2" a="1"/>
  <c r="F57" i="1" a="1"/>
  <c r="E57" i="1" a="1"/>
  <c r="E57" i="1" l="1"/>
  <c r="F57" i="1"/>
  <c r="D58" i="1"/>
  <c r="C59" i="1"/>
  <c r="G88" i="2"/>
  <c r="G89" i="2" a="1"/>
  <c r="F58" i="1" a="1"/>
  <c r="E58" i="1" a="1"/>
  <c r="E58" i="1" l="1"/>
  <c r="F58" i="1"/>
  <c r="C60" i="1"/>
  <c r="D59" i="1"/>
  <c r="G89" i="2"/>
  <c r="G90" i="2" a="1"/>
  <c r="E59" i="1" a="1"/>
  <c r="F59" i="1" a="1"/>
  <c r="E59" i="1" l="1"/>
  <c r="F59" i="1"/>
  <c r="C61" i="1"/>
  <c r="D60" i="1"/>
  <c r="G90" i="2"/>
  <c r="G91" i="2" a="1"/>
  <c r="F60" i="1" a="1"/>
  <c r="E60" i="1" a="1"/>
  <c r="F60" i="1" l="1"/>
  <c r="E60" i="1"/>
  <c r="D61" i="1"/>
  <c r="C62" i="1"/>
  <c r="G91" i="2"/>
  <c r="G92" i="2" a="1"/>
  <c r="E61" i="1" a="1"/>
  <c r="F61" i="1" a="1"/>
  <c r="F61" i="1" l="1"/>
  <c r="E61" i="1"/>
  <c r="D62" i="1"/>
  <c r="C63" i="1"/>
  <c r="G92" i="2"/>
  <c r="G93" i="2" a="1"/>
  <c r="E62" i="1" a="1"/>
  <c r="F62" i="1" a="1"/>
  <c r="F62" i="1" l="1"/>
  <c r="E62" i="1"/>
  <c r="C64" i="1"/>
  <c r="D63" i="1"/>
  <c r="G93" i="2"/>
  <c r="G94" i="2" a="1"/>
  <c r="F63" i="1" a="1"/>
  <c r="E63" i="1" a="1"/>
  <c r="E63" i="1" l="1"/>
  <c r="F63" i="1"/>
  <c r="D64" i="1"/>
  <c r="C65" i="1"/>
  <c r="G94" i="2"/>
  <c r="G95" i="2" a="1"/>
  <c r="E64" i="1" a="1"/>
  <c r="F64" i="1" a="1"/>
  <c r="E64" i="1" l="1"/>
  <c r="F64" i="1"/>
  <c r="C66" i="1"/>
  <c r="D65" i="1"/>
  <c r="G95" i="2"/>
  <c r="G96" i="2" a="1"/>
  <c r="F65" i="1" a="1"/>
  <c r="E65" i="1" a="1"/>
  <c r="E65" i="1" l="1"/>
  <c r="F65" i="1"/>
  <c r="C67" i="1"/>
  <c r="D66" i="1"/>
  <c r="G96" i="2"/>
  <c r="G97" i="2" a="1"/>
  <c r="E66" i="1" a="1"/>
  <c r="F66" i="1" a="1"/>
  <c r="E66" i="1" l="1"/>
  <c r="F66" i="1"/>
  <c r="D67" i="1"/>
  <c r="C68" i="1"/>
  <c r="G97" i="2"/>
  <c r="G98" i="2" a="1"/>
  <c r="E67" i="1" a="1"/>
  <c r="F67" i="1" a="1"/>
  <c r="F67" i="1" l="1"/>
  <c r="E67" i="1"/>
  <c r="D68" i="1"/>
  <c r="C69" i="1"/>
  <c r="G98" i="2"/>
  <c r="G100" i="2" a="1"/>
  <c r="G99" i="2" a="1"/>
  <c r="E68" i="1" a="1"/>
  <c r="F68" i="1" a="1"/>
  <c r="E68" i="1" l="1"/>
  <c r="F68" i="1"/>
  <c r="C70" i="1"/>
  <c r="D69" i="1"/>
  <c r="G100" i="2"/>
  <c r="G99" i="2"/>
  <c r="E69" i="1" a="1"/>
  <c r="F69" i="1" a="1"/>
  <c r="F69" i="1" l="1"/>
  <c r="E69" i="1"/>
  <c r="D70" i="1"/>
  <c r="C71" i="1"/>
  <c r="F70" i="1" a="1"/>
  <c r="E70" i="1" a="1"/>
  <c r="E70" i="1" l="1"/>
  <c r="F70" i="1"/>
  <c r="C72" i="1"/>
  <c r="D71" i="1"/>
  <c r="E71" i="1" a="1"/>
  <c r="F71" i="1" a="1"/>
  <c r="E71" i="1" l="1"/>
  <c r="F71" i="1"/>
  <c r="C73" i="1"/>
  <c r="D72" i="1"/>
  <c r="E72" i="1" a="1"/>
  <c r="F72" i="1" a="1"/>
  <c r="E72" i="1" l="1"/>
  <c r="F72" i="1"/>
  <c r="C74" i="1"/>
  <c r="D73" i="1"/>
  <c r="F73" i="1" a="1"/>
  <c r="E73" i="1" a="1"/>
  <c r="E73" i="1" l="1"/>
  <c r="F73" i="1"/>
  <c r="C75" i="1"/>
  <c r="D74" i="1"/>
  <c r="F74" i="1" a="1"/>
  <c r="E74" i="1" a="1"/>
  <c r="E74" i="1" l="1"/>
  <c r="F74" i="1"/>
  <c r="C76" i="1"/>
  <c r="D75" i="1"/>
  <c r="F75" i="1" a="1"/>
  <c r="E75" i="1" a="1"/>
  <c r="F75" i="1" l="1"/>
  <c r="E75" i="1"/>
  <c r="C77" i="1"/>
  <c r="D76" i="1"/>
  <c r="E76" i="1" a="1"/>
  <c r="F76" i="1" a="1"/>
  <c r="E76" i="1" l="1"/>
  <c r="F76" i="1"/>
  <c r="D77" i="1"/>
  <c r="C78" i="1"/>
  <c r="F77" i="1" a="1"/>
  <c r="E77" i="1" a="1"/>
  <c r="E77" i="1" l="1"/>
  <c r="F77" i="1"/>
  <c r="D78" i="1"/>
  <c r="C79" i="1"/>
  <c r="E78" i="1" a="1"/>
  <c r="F78" i="1" a="1"/>
  <c r="E78" i="1" l="1"/>
  <c r="F78" i="1"/>
  <c r="C80" i="1"/>
  <c r="D79" i="1"/>
  <c r="E79" i="1" a="1"/>
  <c r="F79" i="1" a="1"/>
  <c r="E79" i="1" l="1"/>
  <c r="F79" i="1"/>
  <c r="D80" i="1"/>
  <c r="C81" i="1"/>
  <c r="F80" i="1" a="1"/>
  <c r="E80" i="1" a="1"/>
  <c r="F80" i="1" l="1"/>
  <c r="E80" i="1"/>
  <c r="C82" i="1"/>
  <c r="D81" i="1"/>
  <c r="F81" i="1" a="1"/>
  <c r="E81" i="1" a="1"/>
  <c r="E81" i="1" l="1"/>
  <c r="F81" i="1"/>
  <c r="D82" i="1"/>
  <c r="C83" i="1"/>
  <c r="F82" i="1" a="1"/>
  <c r="E82" i="1" a="1"/>
  <c r="E82" i="1" l="1"/>
  <c r="F82" i="1"/>
  <c r="C84" i="1"/>
  <c r="D83" i="1"/>
  <c r="E83" i="1" a="1"/>
  <c r="F83" i="1" a="1"/>
  <c r="F83" i="1" l="1"/>
  <c r="E83" i="1"/>
  <c r="C85" i="1"/>
  <c r="D84" i="1"/>
  <c r="F84" i="1" a="1"/>
  <c r="E84" i="1" a="1"/>
  <c r="E84" i="1" l="1"/>
  <c r="F84" i="1"/>
  <c r="D85" i="1"/>
  <c r="C86" i="1"/>
  <c r="E85" i="1" a="1"/>
  <c r="F85" i="1" a="1"/>
  <c r="F85" i="1" l="1"/>
  <c r="E85" i="1"/>
  <c r="D86" i="1"/>
  <c r="C87" i="1"/>
  <c r="F86" i="1" a="1"/>
  <c r="E86" i="1" a="1"/>
  <c r="F86" i="1" l="1"/>
  <c r="E86" i="1"/>
  <c r="C88" i="1"/>
  <c r="D87" i="1"/>
  <c r="E87" i="1" a="1"/>
  <c r="F87" i="1" a="1"/>
  <c r="E87" i="1" l="1"/>
  <c r="F87" i="1"/>
  <c r="D88" i="1"/>
  <c r="C89" i="1"/>
  <c r="F88" i="1" a="1"/>
  <c r="E88" i="1" a="1"/>
  <c r="E88" i="1" l="1"/>
  <c r="F88" i="1"/>
  <c r="D89" i="1"/>
  <c r="C90" i="1"/>
  <c r="F89" i="1" a="1"/>
  <c r="E89" i="1" a="1"/>
  <c r="E89" i="1" l="1"/>
  <c r="F89" i="1"/>
  <c r="C91" i="1"/>
  <c r="D90" i="1"/>
  <c r="F90" i="1" a="1"/>
  <c r="E90" i="1" a="1"/>
  <c r="E90" i="1" l="1"/>
  <c r="F90" i="1"/>
  <c r="D91" i="1"/>
  <c r="C92" i="1"/>
  <c r="F91" i="1" a="1"/>
  <c r="E91" i="1" a="1"/>
  <c r="F91" i="1" l="1"/>
  <c r="E91" i="1"/>
  <c r="C93" i="1"/>
  <c r="D92" i="1"/>
  <c r="E92" i="1" a="1"/>
  <c r="F92" i="1" a="1"/>
  <c r="E92" i="1" l="1"/>
  <c r="F92" i="1"/>
  <c r="D93" i="1"/>
  <c r="C94" i="1"/>
  <c r="F93" i="1" a="1"/>
  <c r="E93" i="1" a="1"/>
  <c r="E93" i="1" l="1"/>
  <c r="F93" i="1"/>
  <c r="D94" i="1"/>
  <c r="C95" i="1"/>
  <c r="F94" i="1" a="1"/>
  <c r="E94" i="1" a="1"/>
  <c r="E94" i="1" l="1"/>
  <c r="F94" i="1"/>
  <c r="C96" i="1"/>
  <c r="D95" i="1"/>
  <c r="E95" i="1" a="1"/>
  <c r="F95" i="1" a="1"/>
  <c r="F95" i="1" l="1"/>
  <c r="E95" i="1"/>
  <c r="C97" i="1"/>
  <c r="D96" i="1"/>
  <c r="F96" i="1" a="1"/>
  <c r="E96" i="1" a="1"/>
  <c r="E96" i="1" l="1"/>
  <c r="F96" i="1"/>
  <c r="D97" i="1"/>
  <c r="C98" i="1"/>
  <c r="F97" i="1" a="1"/>
  <c r="E97" i="1" a="1"/>
  <c r="F97" i="1" l="1"/>
  <c r="E97" i="1"/>
  <c r="D98" i="1"/>
  <c r="C99" i="1"/>
  <c r="E98" i="1" a="1"/>
  <c r="F98" i="1" a="1"/>
  <c r="F98" i="1" l="1"/>
  <c r="E98" i="1"/>
  <c r="C100" i="1"/>
  <c r="D100" i="1" s="1"/>
  <c r="D99" i="1"/>
  <c r="F100" i="1" a="1"/>
  <c r="F99" i="1" a="1"/>
  <c r="E100" i="1" a="1"/>
  <c r="E99" i="1" a="1"/>
  <c r="E99" i="1" l="1"/>
  <c r="F99" i="1"/>
  <c r="E100" i="1"/>
  <c r="F10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<sst xmlns="http://schemas.openxmlformats.org/spreadsheetml/2006/main" count="717" uniqueCount="124">
  <si>
    <t>CRDP-DP-Policy-Gen</t>
  </si>
  <si>
    <t>Idx</t>
  </si>
  <si>
    <t>PlainText Data</t>
  </si>
  <si>
    <t>CRDP Protect URL</t>
  </si>
  <si>
    <t>CRDP Reveal URL</t>
  </si>
  <si>
    <t>CRDP Prot Profile Ver</t>
  </si>
  <si>
    <t>User</t>
  </si>
  <si>
    <t>Prot Policy Name</t>
  </si>
  <si>
    <t>CRDP CipherText Data (PROTECT)</t>
  </si>
  <si>
    <t>CRDP PlainText Data (REVEAL)</t>
  </si>
  <si>
    <t>PT Len</t>
  </si>
  <si>
    <t>PT Card</t>
  </si>
  <si>
    <t>bits</t>
  </si>
  <si>
    <t>1003000</t>
  </si>
  <si>
    <t>0bc189ee322acd715da34c7ca4bc9ae251fc52d57acf1fd75ad713210aa780e6</t>
  </si>
  <si>
    <t>479d73a971cca592ae1b31297de43e001919b42ee0cbaf73cf0b70b638e41efa</t>
  </si>
  <si>
    <t>8c2b2c63ce66dd73d441b5c26c384a37069ed11cce265b1e481b15d049019d97</t>
  </si>
  <si>
    <t>0df3d4ccfd145fa941ceb4aecd3b75aa635e1867460cfdd45a8f6fb4e3a9f696</t>
  </si>
  <si>
    <t>e741996fd47d7e0eec65e04a14c2f88b145dc7c199acaa3fbbbea3408faa4232</t>
  </si>
  <si>
    <t>f65915be053740d091357369f8e4612e32d0ad67b989e3fa84069c4afca1c30d</t>
  </si>
  <si>
    <t>923fbe9205d452574233275e661efd9a7387025f1d95ecd55bf9e12294f1646d</t>
  </si>
  <si>
    <t>e548a57c4ce28a12f37854c9c8c5ec93b52474444db2784b7d3d75aa36c02c83</t>
  </si>
  <si>
    <t>de3c3454d222ef203a3edf88fadd181cbb7a42f9e8dc6895e0259170986537dd</t>
  </si>
  <si>
    <t>5116a59f999e737850db14c28c098c54ecb482fd063a934b3024d9d3beaf3922</t>
  </si>
  <si>
    <t>de774401d2a4a3033329eccd7d99c08da79f868293dd31584c9ec5c8eb65ec84</t>
  </si>
  <si>
    <t>eb1b7500bd02f6e456510f22091ff10cc0fff3e81efdd8664938eca09fa6fb8a</t>
  </si>
  <si>
    <t>698f1e67079af71069b7ebec27a3ffefc754d1ca5d4f5a69a688540ca65287c5</t>
  </si>
  <si>
    <t>881cbee5f87e03d2b5dc8c0668954a65501b42c349d62edb76c789ff75f51daf</t>
  </si>
  <si>
    <t>d38069a008d27b021e813a2da31b82d8d15e97ac8bf00dfdbc0c8ecd99551631</t>
  </si>
  <si>
    <t>588a0b964880a42536be1f3450ed851ebf0c73983f5e8373b08ef6a90883f42c</t>
  </si>
  <si>
    <t>d92d0eaded8e1f8251b20972c2a61771991af6033c4c2009655f2a87675f1d11</t>
  </si>
  <si>
    <t>cb0e49b5566959ae9a767f3e986232ff4f7add768b370fc424fc7b8ddf344a79</t>
  </si>
  <si>
    <t>dbf5b5f7c6ce2dcc66f5040a9c0ed038f73c64421d05f04eb0cc621b0346f941</t>
  </si>
  <si>
    <t>74a36714723a41d88300c9866fe141e9b4bc0c2bed27d835f2a9563b3db252fb</t>
  </si>
  <si>
    <t>417564ddab7ec9c22a9348f5d035c4048336804d7301952e75f5d24a142b446c</t>
  </si>
  <si>
    <t>d12aca5e9f5a49413515ccecb21dcbf28b7a9269e973f4e3c09f089ffe77ddc4</t>
  </si>
  <si>
    <t>8cdcb7fcb81f7a122fe8365699a816152253236a306eb6d8009fcac08629f38e</t>
  </si>
  <si>
    <t>e5743127f33f1f307b6291cba111f45090c61cbfed57774ea8917891e59606f1</t>
  </si>
  <si>
    <t>03793f59b0a104d812e9ecfe9dfc3f70059177cf22fbcb23b78680b0b02bb3c0</t>
  </si>
  <si>
    <t>197d2e6300252fb553c5dd7b903a551f6c17ca0a6537cfaf35149242994af67b</t>
  </si>
  <si>
    <t>509dc59624b297b20fe20aed1c7dd0d0fb2d218c285e7d5f2d8d1c2766c44d3d</t>
  </si>
  <si>
    <t>76fcda53d4a6a7638da7ffaa23232932835b2ab690d1f490f7844062c1ebb353</t>
  </si>
  <si>
    <t>61463bf8c03b082b6f751d59b72c2a77092d89136027b8f42d056c53fccf05e3</t>
  </si>
  <si>
    <t>3f1ab292fcd26df5e202fc18cfc872c125e5b786c05d659a535f06f702b25867</t>
  </si>
  <si>
    <t>3ef2215617e99dab72f071b78f2a50e1ba0a95f55fdac6881def0f798c218c24</t>
  </si>
  <si>
    <t>4fb05602fb807bedd19c91cab1739c9ba06bf2b264d184b3d88d6d7235cbfc6e</t>
  </si>
  <si>
    <t>38e4d6b19e27fcd862ff7ba971fe61e3efbaee1e3ac754450f7996f83099c734</t>
  </si>
  <si>
    <t>72e11dddaca9e759123cc040ba1562c8ccdad5f2dc50c6d8aca810b3e6603c74</t>
  </si>
  <si>
    <t>55260920f5e4f9f9c39571bf99b085bd2017119c487b78f1aab00139d22586dc</t>
  </si>
  <si>
    <t>533393f2aecefb1d2b7cf97c36c202b35a590c0d0fe90380bb9d24ab129b04df</t>
  </si>
  <si>
    <t>7461b0a77b615fd75d231f3382062a76a5e380fb90253edf507444f2a6c637ce</t>
  </si>
  <si>
    <t>a7c450f6d4cc271f94f2a166d04676f10f6282e20f4035797721aa2806746b79</t>
  </si>
  <si>
    <t>2d0f3d0f3f823250f167b3195797fffda45a9b7515d54fa74f3fa05dd770ad6e</t>
  </si>
  <si>
    <t>de1c90a94a167c6fd8cb5287844fce837afa83680ca0bc8473a004595ea3a617</t>
  </si>
  <si>
    <t>a1dbc5fe7ff93f5b225e67ede342cc5ad44b1244e76700d361db5d1c814e218a</t>
  </si>
  <si>
    <t>7a64715965e546d4e133fb4f7732567a3d8ec85f2d406a096a3ef932b8faf679</t>
  </si>
  <si>
    <t>7abb4ff80412250f7145ab04459068dafc9f60ebc29068abdb2c26ef4824579d</t>
  </si>
  <si>
    <t>09d8480c1a138f9a698efd21be3f6e5344af626fa2f28e9a51c6f248623760ac</t>
  </si>
  <si>
    <t>d6ad9bdcf9bb6287211f185f6e05c50a4d563e1ccb403d8f49d2030e806d115f</t>
  </si>
  <si>
    <t>18396f8299237f9257a6fd88b082717d162a62124b4bc851ad97caff0d5bcd20</t>
  </si>
  <si>
    <t>0ad04c736d8d8c6418d5931f576ec78a8491b77d4931ef34a5f4a38a8651bce6</t>
  </si>
  <si>
    <t>aaff65035996d5fac775a1cb8cfe9801da23faf657df28a0c7e5d17fc0989627</t>
  </si>
  <si>
    <t>832b121f957c60e936c5eedf47cc6f1975d8052c1a98b00b8281556dcd616269</t>
  </si>
  <si>
    <t>1480054be24c8b0d0d01058365825b7a11184380a853d48808655a2c03381946</t>
  </si>
  <si>
    <t>c04a93f8b03ae93c0909e1c1c20a3200b1ecc1b39c4b3ffc6ed3b32f361bc5c6</t>
  </si>
  <si>
    <t>822db0af04ec72da58ba25ef1335f1f8dd9b3dbe025e56db370ed05639ab71c4</t>
  </si>
  <si>
    <t>969a72abf429cc00aa459a89c8691e9d022691f31e0204132a99d1a195e9ca83</t>
  </si>
  <si>
    <t>41967b585960e9a721d5b504ce0ed865b7952d00c800db06ba440c0a06f6a354</t>
  </si>
  <si>
    <t>df42f95d1102cc2c2cda8161d704cac337d9814b7aeebf2523dbaf38158bb28c</t>
  </si>
  <si>
    <t>ae7270556c33d0b38fdee24153ecf0a34f5fe69c7d8a5b256fdc0624f445d0e0</t>
  </si>
  <si>
    <t>671df4175cc4eba588c88c4b58951ecda9d741bde1dddad3244b31eb1c158196</t>
  </si>
  <si>
    <t>e04cd8b728cca91c534f96902aa1849e321d8537784b8d3b4b198d0e55400267</t>
  </si>
  <si>
    <t>39e0d5fa699864592c18d8fc8264d5077d761c6ed4e69aed9e55f6f99454c765</t>
  </si>
  <si>
    <t>a867c486c54cb2ca6bb9ca9208a47c02b04e5bdb75715e0109382f0d477ce5f6</t>
  </si>
  <si>
    <t>c48cd62159600b06ed48f32caafb78b57d27926ae26b62b5ef4bcdd3b60ff085</t>
  </si>
  <si>
    <t>51577694ee62dd1cafc4b137772984c7dcba661c8192f1cbe5dd4367ddf22d17</t>
  </si>
  <si>
    <t>2e17f46aea1f516f3ac4208b2e68bb7ff3fce25477fd2f582628113c7ee0219e</t>
  </si>
  <si>
    <t>353ccf9553462eefd0904bb7903ebe4cc3070e24310c9b620ea3c365f94b146f</t>
  </si>
  <si>
    <t>cbc92828566d687294677f2eb61a3ca2888e2ff56d43d725447381fc477827a1</t>
  </si>
  <si>
    <t>0068d23a1cb25c56e030af25ec33f4de7ed97ae6a269bb1626f87fd22f1fc18c</t>
  </si>
  <si>
    <t>2b6e583350fcd7576db00bb73db46c4d4c00db64cd49065f535a3bbda5af6629</t>
  </si>
  <si>
    <t>a859e38a87dd18b3effffee9ee34662e41e093168a9ca9135deb6244b053529f</t>
  </si>
  <si>
    <t>925eb85fc193ce0ebc37791ed1e1700c2866de6569acbd1c34a19e9a0d2f7b64</t>
  </si>
  <si>
    <t>f8b3b5baca48ba53e082b55f8fd727f22d3a91dc990c0a2c3b2090739295f411</t>
  </si>
  <si>
    <t>1c76306d8b362a55b2e25708bd597ea0497a9ed2e4bf421dabfaf7526e23f2c5</t>
  </si>
  <si>
    <t>26cad2c1a8cbdde6a886e86f78bed660930b97fae384b4ea4fb24b6f4aae38ca</t>
  </si>
  <si>
    <t>8cf6ddb5409c3b1c5418576699f6904053fa040c2f5234e0c67544d800df51dd</t>
  </si>
  <si>
    <t>c1485ab61a14c8254a20165faa9ad9dd7a1c08ce20ffbac702b70e9070f9ece3</t>
  </si>
  <si>
    <t>282823a5488b7e9fb7a0852d585e29af9e36e22fd646c2b8597905de6fc52c1d</t>
  </si>
  <si>
    <t>ace2aa4cd96c43787531f7149c26341e9228644105aa816084896d410b518fc3</t>
  </si>
  <si>
    <t>828e663163c01eb29b3a0d9730c1b999b27c4f7a79c94ed97f12f6be058897ea</t>
  </si>
  <si>
    <t>14900d569cca20b8f16cbb11f743073d89ad7b1fc4712c9a30bebf48118215c9</t>
  </si>
  <si>
    <t>78a8667f471d15777b368431af1933a772256d000d31e5b9a44cdc8115ebda42</t>
  </si>
  <si>
    <t>0eee9973b3782fd8608521b73fe557a50049c4dc8903b7be4931867ead5a978a</t>
  </si>
  <si>
    <t>c887efe5dbd1bcd236e1af752d4f8950aaa4a27cbd82ce4e479071cc17065d0d</t>
  </si>
  <si>
    <t>5b535e8b577064ba6fe72cc2599891d49b2681e3fe6c9e9565ecd952f7125757</t>
  </si>
  <si>
    <t>2e5e2b3efa46e94bc29588c61ae8082dd556c8bd2de3e4bf284a5326a8fa134a</t>
  </si>
  <si>
    <t>9ab5063ad0456ee81f541e4a550127e69a57caa4f74d92b4f2cec6ae5ba43f7b</t>
  </si>
  <si>
    <t>26dd6317b3607783f3f8208327371d8f1f4d1a5d6963f31b6d928ffa6ae1c441</t>
  </si>
  <si>
    <t>7e8f919a2ba2a05e34452dd43f4e7bb7b108ebf018bb77701e2d6b69b07a3e40</t>
  </si>
  <si>
    <t>8a9f526e43374ad7fa8d8999374cb2bcb4697c663957ec00eb7c7f4ac93e29a2</t>
  </si>
  <si>
    <t>078190dffee28c884944cee1862c11a57e92f32bd1fba8d295038caf32456ec8</t>
  </si>
  <si>
    <t>e4fa838b1c6eb9d99c454647c73bd60b0aa047c8b6b7693e88ef82670a553bd9</t>
  </si>
  <si>
    <t>3703c75540b66d89b435b57d0f1e9a1bd664c1c8e0065646a697d12181be5a53</t>
  </si>
  <si>
    <t>6af03d8e43cb7fbb5a0e1c2b234463ef0861e789ce2c7f7b201638868d020f97</t>
  </si>
  <si>
    <t>b86a67118344207cfc55d9f4f299995f5924d1b5f3a6c03f9536e9cd010fd4e9</t>
  </si>
  <si>
    <t>8a7843ecf9de0dbed08cf171905320b2c9011985fdbafe96bc159d53c9ce8440</t>
  </si>
  <si>
    <t>28b3129af8d18a3f10a518b89ece0debef551b76eca7e9660785df55ade2644d</t>
  </si>
  <si>
    <t>802e5e07c0e9627bcf65b5f01d5a8e5ae62e5740fbc4dd218630af2657c61f93</t>
  </si>
  <si>
    <t>ebb52b613dd62e7fd669c26c03eb08e6d253b5e9e3b1e781419b6ea137614fe9</t>
  </si>
  <si>
    <t>9c2b661ea61a0747cc7f2ed85536610f1282f60ec24130ae11c6d137e5d27a89</t>
  </si>
  <si>
    <t>CT Len</t>
  </si>
  <si>
    <t>CT Card</t>
  </si>
  <si>
    <t>3050-6958-7240-9858</t>
  </si>
  <si>
    <t>CRDP-DP-Policy-Tokenize</t>
  </si>
  <si>
    <t>0114-7182-5828-1177</t>
  </si>
  <si>
    <t>1004000</t>
  </si>
  <si>
    <t>429-95-4489</t>
  </si>
  <si>
    <t>Data Protection Policies</t>
  </si>
  <si>
    <t>mallory</t>
  </si>
  <si>
    <t>568-92-5761</t>
  </si>
  <si>
    <t>http://neptune.test256.io:8090/v1/protect</t>
  </si>
  <si>
    <t>http://neptune.test256.io:8090/v1/reveal</t>
  </si>
  <si>
    <t>Larry is in New Hampshire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</si>
</sst>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onsolas"/>
      <family val="3"/>
    </font>
    <font>
      <b/>
      <sz val="11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2" borderId="1" xfId="0" applyFont="1" applyFill="1" applyBorder="1" applyAlignment="1">
      <alignment horizontal="center"/>
    </xf>
    <xf numFmtId="49" fontId="1" fillId="4" borderId="1" xfId="0" applyNumberFormat="1" applyFont="1" applyFill="1" applyBorder="1" applyAlignment="1">
      <alignment horizontal="center"/>
    </xf>
    <xf numFmtId="0" fontId="0" fillId="0" borderId="0" xfId="0" applyBorder="1"/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49" fontId="1" fillId="6" borderId="1" xfId="0" applyNumberFormat="1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0" fillId="7" borderId="0" xfId="0" applyFill="1" applyBorder="1"/>
    <xf numFmtId="0" fontId="0" fillId="8" borderId="0" xfId="0" applyFill="1" applyBorder="1"/>
    <xf numFmtId="0" fontId="1" fillId="9" borderId="1" xfId="0" applyFont="1" applyFill="1" applyBorder="1" applyAlignment="1">
      <alignment horizontal="center"/>
    </xf>
    <xf numFmtId="0" fontId="1" fillId="11" borderId="1" xfId="0" applyFont="1" applyFill="1" applyBorder="1" applyAlignment="1">
      <alignment horizontal="center"/>
    </xf>
    <xf numFmtId="0" fontId="2" fillId="3" borderId="0" xfId="0" applyNumberFormat="1" applyFont="1" applyFill="1" applyBorder="1" applyAlignment="1">
      <alignment horizontal="left"/>
    </xf>
    <xf numFmtId="0" fontId="2" fillId="5" borderId="0" xfId="0" applyNumberFormat="1" applyFont="1" applyFill="1" applyBorder="1" applyAlignment="1">
      <alignment horizontal="center"/>
    </xf>
    <xf numFmtId="49" fontId="2" fillId="3" borderId="0" xfId="0" applyNumberFormat="1" applyFont="1" applyFill="1" applyBorder="1" applyAlignment="1">
      <alignment horizontal="center"/>
    </xf>
    <xf numFmtId="49" fontId="2" fillId="5" borderId="0" xfId="0" applyNumberFormat="1" applyFont="1" applyFill="1" applyBorder="1" applyAlignment="1">
      <alignment horizontal="center"/>
    </xf>
    <xf numFmtId="0" fontId="2" fillId="10" borderId="0" xfId="0" applyFont="1" applyFill="1" applyBorder="1"/>
    <xf numFmtId="0" fontId="0" fillId="0" borderId="1" xfId="0" applyFont="1" applyBorder="1"/>
    <xf numFmtId="0" fontId="0" fillId="12" borderId="0" xfId="0" applyFill="1"/>
    <xf numFmtId="0" fontId="0" fillId="12" borderId="0" xfId="0" applyFill="1" applyBorder="1"/>
    <xf numFmtId="0" fontId="1" fillId="13" borderId="1" xfId="0" applyFont="1" applyFill="1" applyBorder="1" applyAlignment="1">
      <alignment horizontal="left"/>
    </xf>
    <xf numFmtId="0" fontId="0" fillId="14" borderId="0" xfId="0" applyFill="1" applyBorder="1" applyAlignment="1">
      <alignment horizontal="center"/>
    </xf>
    <xf numFmtId="0" fontId="3" fillId="15" borderId="1" xfId="0" applyFont="1" applyFill="1" applyBorder="1" applyAlignment="1">
      <alignment horizontal="center"/>
    </xf>
    <xf numFmtId="49" fontId="2" fillId="3" borderId="0" xfId="0" applyNumberFormat="1" applyFont="1" applyFill="1" applyBorder="1" applyAlignment="1">
      <alignment horizontal="left"/>
    </xf>
    <xf numFmtId="49" fontId="2" fillId="5" borderId="0" xfId="0" quotePrefix="1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2" fontId="0" fillId="0" borderId="0" xfId="0" applyNumberFormat="1" applyBorder="1"/>
    <xf numFmtId="0" fontId="2" fillId="10" borderId="0" xfId="0" applyFont="1" applyFill="1" applyBorder="1" applyAlignment="1">
      <alignment horizontal="left"/>
    </xf>
    <xf numFmtId="0" fontId="1" fillId="0" borderId="1" xfId="0" applyFont="1" applyBorder="1"/>
  </cellXfs>
  <cellStyles count="1">
    <cellStyle name="Normal" xfId="0" builtinId="0"/>
  </cellStyles>
  <dxfs count="2"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D97326D-34A1-4368-A66B-4EBD294C795C}" name="Table3" displayName="Table3" ref="A1:A3" totalsRowShown="0" headerRowDxfId="1" headerRowBorderDxfId="0">
  <autoFilter ref="A1:A3" xr:uid="{2D97326D-34A1-4368-A66B-4EBD294C795C}"/>
  <tableColumns count="1">
    <tableColumn id="1" xr3:uid="{4D4C7250-3CC2-49E4-92AA-A5F5214B539D}" name="Data Protection Polici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F39E2-A88F-45B2-A69C-D04E16403CD5}">
  <sheetPr codeName="Sheet1"/>
  <dimension ref="A1:N100"/>
  <sheetViews>
    <sheetView tabSelected="1" zoomScaleNormal="100" workbookViewId="0">
      <selection activeCell="D5" sqref="D5"/>
    </sheetView>
  </sheetViews>
  <sheetFormatPr defaultRowHeight="15" x14ac:dyDescent="0.25"/>
  <cols>
    <col min="1" max="1" width="48.85546875" style="19" customWidth="1"/>
    <col min="2" max="2" width="24.5703125" style="9" customWidth="1"/>
    <col min="3" max="3" width="11.85546875" style="5" hidden="1" customWidth="1"/>
    <col min="4" max="4" width="35.28515625" style="27" customWidth="1"/>
    <col min="5" max="5" width="67" style="14" customWidth="1"/>
    <col min="6" max="6" width="20.42578125" style="15" customWidth="1"/>
    <col min="7" max="7" width="4" style="8" customWidth="1"/>
    <col min="8" max="8" width="12.85546875" style="5" hidden="1" customWidth="1"/>
    <col min="9" max="9" width="12.7109375" style="5" hidden="1" customWidth="1"/>
    <col min="10" max="10" width="9.140625" style="3" hidden="1" customWidth="1"/>
    <col min="11" max="11" width="2.42578125" style="3" hidden="1" customWidth="1"/>
    <col min="12" max="14" width="0" style="3" hidden="1" customWidth="1"/>
    <col min="15" max="16384" width="9.140625" style="3"/>
  </cols>
  <sheetData>
    <row r="1" spans="1:14" s="17" customFormat="1" x14ac:dyDescent="0.25">
      <c r="A1" s="20" t="s">
        <v>3</v>
      </c>
      <c r="B1" s="10" t="s">
        <v>7</v>
      </c>
      <c r="C1" s="1" t="s">
        <v>1</v>
      </c>
      <c r="D1" s="11" t="s">
        <v>2</v>
      </c>
      <c r="E1" s="2" t="s">
        <v>8</v>
      </c>
      <c r="F1" s="6" t="s">
        <v>5</v>
      </c>
      <c r="G1" s="7"/>
      <c r="H1" s="25" t="s">
        <v>10</v>
      </c>
      <c r="I1" s="25" t="s">
        <v>11</v>
      </c>
      <c r="J1" s="25" t="s">
        <v>12</v>
      </c>
      <c r="L1" s="25" t="s">
        <v>111</v>
      </c>
      <c r="M1" s="25" t="s">
        <v>112</v>
      </c>
      <c r="N1" s="25" t="s">
        <v>12</v>
      </c>
    </row>
    <row r="2" spans="1:14" x14ac:dyDescent="0.25">
      <c r="A2" s="18" t="s">
        <v>121</v>
      </c>
      <c r="B2" s="9" t="s">
        <v>114</v>
      </c>
      <c r="C2" s="4">
        <v>1000</v>
      </c>
      <c r="D2" s="27" t="s">
        <v>113</v>
      </c>
      <c r="E2" s="12" t="str" cm="1">
        <f t="array" ref="E2">macroCRDPProtect(A2,B2,D2,TRUE)</f>
        <v>0114-7182-5828-1177</v>
      </c>
      <c r="F2" s="13" t="str" cm="1">
        <f t="array" ref="F2">macroCRDPProtect(A2,B2,D2,FALSE)</f>
        <v>1004000</v>
      </c>
      <c r="H2" s="5">
        <f>LEN(D2)</f>
        <v>19</v>
      </c>
      <c r="I2" s="5" cm="1">
        <f t="array" ref="I2">calcCard(D2)</f>
        <v>10</v>
      </c>
      <c r="J2" s="26">
        <f>LOG(I2^H2,2)</f>
        <v>63.116633802859894</v>
      </c>
      <c r="L2" s="5">
        <f>LEN(E2)</f>
        <v>19</v>
      </c>
      <c r="M2" s="5">
        <v>16</v>
      </c>
      <c r="N2" s="26">
        <f>LOG(M2^L2,2)</f>
        <v>76</v>
      </c>
    </row>
    <row r="3" spans="1:14" x14ac:dyDescent="0.25">
      <c r="A3" s="18" t="s">
        <v>121</v>
      </c>
      <c r="B3" s="9" t="s">
        <v>114</v>
      </c>
      <c r="C3" s="4">
        <f t="shared" ref="C3:C15" si="0">C2+1</f>
        <v>1001</v>
      </c>
      <c r="D3" s="27" t="s">
        <v>120</v>
      </c>
      <c r="E3" s="12" t="str" cm="1">
        <f t="array" ref="E3">macroCRDPProtect(A3,B3,D3,TRUE)</f>
        <v>301-81-3321</v>
      </c>
      <c r="F3" s="13" t="str" cm="1">
        <f t="array" ref="F3">macroCRDPProtect(A3,B3,D3,FALSE)</f>
        <v>1004000</v>
      </c>
      <c r="H3" s="5">
        <f>LEN(D3)</f>
        <v>11</v>
      </c>
      <c r="I3" s="5" cm="1">
        <f t="array" ref="I3">calcCard(D3)</f>
        <v>8</v>
      </c>
      <c r="J3" s="26">
        <f t="shared" ref="J3:J6" si="1">LOG(I3^H3,2)</f>
        <v>33</v>
      </c>
      <c r="L3" s="5">
        <f t="shared" ref="L3:L6" si="2">LEN(E3)</f>
        <v>11</v>
      </c>
      <c r="M3" s="5">
        <v>16</v>
      </c>
      <c r="N3" s="26">
        <f t="shared" ref="N3:N6" si="3">LOG(M3^L3,2)</f>
        <v>44</v>
      </c>
    </row>
    <row r="4" spans="1:14" x14ac:dyDescent="0.25">
      <c r="A4" s="18" t="s">
        <v>121</v>
      </c>
      <c r="B4" s="9" t="s">
        <v>0</v>
      </c>
      <c r="C4" s="4">
        <f t="shared" si="0"/>
        <v>1002</v>
      </c>
      <c r="D4" s="27" t="s">
        <v>123</v>
      </c>
      <c r="E4" s="12" t="str" cm="1">
        <f t="array" ref="E4">macroCRDPProtect(A4,B4,D4,TRUE)</f>
        <v>0bc189ee322acd715da34c7ca4bc9ae251fc52d57acf1fd75ad713210aa780e6</v>
      </c>
      <c r="F4" s="13" t="str" cm="1">
        <f t="array" ref="F4">macroCRDPProtect(A4,B4,D4,FALSE)</f>
        <v>1003000</v>
      </c>
      <c r="H4" s="5">
        <f>LEN(D4)</f>
        <v>25</v>
      </c>
      <c r="I4" s="5" cm="1">
        <f t="array" ref="I4">calcCard(D4)</f>
        <v>15</v>
      </c>
      <c r="J4" s="26">
        <f t="shared" si="1"/>
        <v>97.672264890212958</v>
      </c>
      <c r="L4" s="5">
        <f t="shared" si="2"/>
        <v>64</v>
      </c>
      <c r="M4" s="5">
        <v>16</v>
      </c>
      <c r="N4" s="26">
        <f t="shared" si="3"/>
        <v>256</v>
      </c>
    </row>
    <row r="5" spans="1:14" x14ac:dyDescent="0.25">
      <c r="A5" s="18" t="s">
        <v>121</v>
      </c>
      <c r="B5" s="9" t="s">
        <v>0</v>
      </c>
      <c r="C5" s="4">
        <f t="shared" si="0"/>
        <v>1003</v>
      </c>
      <c r="D5" s="27" t="str">
        <f t="shared" ref="D5:D35" si="4">_xlfn.CONCAT(C5," + This is a secret message")</f>
        <v>1003 + This is a secret message</v>
      </c>
      <c r="E5" s="12" t="str" cm="1">
        <f t="array" ref="E5">macroCRDPProtect(A5,B5,D5,TRUE)</f>
        <v>479d73a971cca592ae1b31297de43e001919b42ee0cbaf73cf0b70b638e41efa</v>
      </c>
      <c r="F5" s="13" t="str" cm="1">
        <f t="array" ref="F5">macroCRDPProtect(A5,B5,D5,FALSE)</f>
        <v>1003000</v>
      </c>
      <c r="H5" s="5">
        <f>LEN(D5)</f>
        <v>31</v>
      </c>
      <c r="I5" s="5" cm="1">
        <f t="array" ref="I5">calcCard(D5)</f>
        <v>16</v>
      </c>
      <c r="J5" s="26">
        <f t="shared" si="1"/>
        <v>124.00000000000001</v>
      </c>
      <c r="L5" s="5">
        <f t="shared" si="2"/>
        <v>64</v>
      </c>
      <c r="M5" s="5">
        <v>16</v>
      </c>
      <c r="N5" s="26">
        <f t="shared" si="3"/>
        <v>256</v>
      </c>
    </row>
    <row r="6" spans="1:14" x14ac:dyDescent="0.25">
      <c r="A6" s="18" t="s">
        <v>121</v>
      </c>
      <c r="B6" s="9" t="s">
        <v>0</v>
      </c>
      <c r="C6" s="4">
        <f t="shared" si="0"/>
        <v>1004</v>
      </c>
      <c r="D6" s="27" t="str">
        <f t="shared" si="4"/>
        <v>1004 + This is a secret message</v>
      </c>
      <c r="E6" s="12" t="str" cm="1">
        <f t="array" ref="E6">macroCRDPProtect(A6,B6,D6,TRUE)</f>
        <v>8c2b2c63ce66dd73d441b5c26c384a37069ed11cce265b1e481b15d049019d97</v>
      </c>
      <c r="F6" s="13" t="str" cm="1">
        <f t="array" ref="F6">macroCRDPProtect(A6,B6,D6,FALSE)</f>
        <v>1003000</v>
      </c>
      <c r="H6" s="5">
        <f>LEN(D6)</f>
        <v>31</v>
      </c>
      <c r="I6" s="5" cm="1">
        <f t="array" ref="I6">calcCard(D6)</f>
        <v>16</v>
      </c>
      <c r="J6" s="26">
        <f t="shared" si="1"/>
        <v>124.00000000000001</v>
      </c>
      <c r="L6" s="5">
        <f t="shared" si="2"/>
        <v>64</v>
      </c>
      <c r="M6" s="5">
        <v>16</v>
      </c>
      <c r="N6" s="26">
        <f t="shared" si="3"/>
        <v>256</v>
      </c>
    </row>
    <row r="7" spans="1:14" x14ac:dyDescent="0.25">
      <c r="A7" s="18" t="s">
        <v>121</v>
      </c>
      <c r="B7" s="9" t="s">
        <v>0</v>
      </c>
      <c r="C7" s="4">
        <f t="shared" si="0"/>
        <v>1005</v>
      </c>
      <c r="D7" s="27" t="str">
        <f t="shared" si="4"/>
        <v>1005 + This is a secret message</v>
      </c>
      <c r="E7" s="12" t="str" cm="1">
        <f t="array" ref="E7">macroCRDPProtect(A7,B7,D7,TRUE)</f>
        <v>0df3d4ccfd145fa941ceb4aecd3b75aa635e1867460cfdd45a8f6fb4e3a9f696</v>
      </c>
      <c r="F7" s="13" t="str" cm="1">
        <f t="array" ref="F7">macroCRDPProtect(A7,B7,D7,FALSE)</f>
        <v>1003000</v>
      </c>
    </row>
    <row r="8" spans="1:14" x14ac:dyDescent="0.25">
      <c r="A8" s="18" t="s">
        <v>121</v>
      </c>
      <c r="B8" s="9" t="s">
        <v>0</v>
      </c>
      <c r="C8" s="4">
        <f t="shared" si="0"/>
        <v>1006</v>
      </c>
      <c r="D8" s="27" t="str">
        <f t="shared" si="4"/>
        <v>1006 + This is a secret message</v>
      </c>
      <c r="E8" s="12" t="str" cm="1">
        <f t="array" ref="E8">macroCRDPProtect(A8,B8,D8,TRUE)</f>
        <v>e741996fd47d7e0eec65e04a14c2f88b145dc7c199acaa3fbbbea3408faa4232</v>
      </c>
      <c r="F8" s="13" t="str" cm="1">
        <f t="array" ref="F8">macroCRDPProtect(A8,B8,D8,FALSE)</f>
        <v>1003000</v>
      </c>
    </row>
    <row r="9" spans="1:14" x14ac:dyDescent="0.25">
      <c r="A9" s="18" t="s">
        <v>121</v>
      </c>
      <c r="B9" s="9" t="s">
        <v>0</v>
      </c>
      <c r="C9" s="4">
        <f t="shared" si="0"/>
        <v>1007</v>
      </c>
      <c r="D9" s="27" t="str">
        <f t="shared" si="4"/>
        <v>1007 + This is a secret message</v>
      </c>
      <c r="E9" s="12" t="str" cm="1">
        <f t="array" ref="E9">macroCRDPProtect(A9,B9,D9,TRUE)</f>
        <v>f65915be053740d091357369f8e4612e32d0ad67b989e3fa84069c4afca1c30d</v>
      </c>
      <c r="F9" s="13" t="str" cm="1">
        <f t="array" ref="F9">macroCRDPProtect(A9,B9,D9,FALSE)</f>
        <v>1003000</v>
      </c>
    </row>
    <row r="10" spans="1:14" x14ac:dyDescent="0.25">
      <c r="A10" s="18" t="s">
        <v>121</v>
      </c>
      <c r="B10" s="9" t="s">
        <v>0</v>
      </c>
      <c r="C10" s="4">
        <f t="shared" si="0"/>
        <v>1008</v>
      </c>
      <c r="D10" s="27" t="str">
        <f t="shared" si="4"/>
        <v>1008 + This is a secret message</v>
      </c>
      <c r="E10" s="12" t="str" cm="1">
        <f t="array" ref="E10">macroCRDPProtect(A10,B10,D10,TRUE)</f>
        <v>923fbe9205d452574233275e661efd9a7387025f1d95ecd55bf9e12294f1646d</v>
      </c>
      <c r="F10" s="13" t="str" cm="1">
        <f t="array" ref="F10">macroCRDPProtect(A10,B10,D10,FALSE)</f>
        <v>1003000</v>
      </c>
    </row>
    <row r="11" spans="1:14" x14ac:dyDescent="0.25">
      <c r="A11" s="18" t="s">
        <v>121</v>
      </c>
      <c r="B11" s="9" t="s">
        <v>0</v>
      </c>
      <c r="C11" s="4">
        <f t="shared" si="0"/>
        <v>1009</v>
      </c>
      <c r="D11" s="27" t="str">
        <f t="shared" si="4"/>
        <v>1009 + This is a secret message</v>
      </c>
      <c r="E11" s="12" t="str" cm="1">
        <f t="array" ref="E11">macroCRDPProtect(A11,B11,D11,TRUE)</f>
        <v>e548a57c4ce28a12f37854c9c8c5ec93b52474444db2784b7d3d75aa36c02c83</v>
      </c>
      <c r="F11" s="13" t="str" cm="1">
        <f t="array" ref="F11">macroCRDPProtect(A11,B11,D11,FALSE)</f>
        <v>1003000</v>
      </c>
    </row>
    <row r="12" spans="1:14" x14ac:dyDescent="0.25">
      <c r="A12" s="18" t="s">
        <v>121</v>
      </c>
      <c r="B12" s="9" t="s">
        <v>0</v>
      </c>
      <c r="C12" s="4">
        <f t="shared" si="0"/>
        <v>1010</v>
      </c>
      <c r="D12" s="27" t="str">
        <f t="shared" si="4"/>
        <v>1010 + This is a secret message</v>
      </c>
      <c r="E12" s="12" t="str" cm="1">
        <f t="array" ref="E12">macroCRDPProtect(A12,B12,D12,TRUE)</f>
        <v>de3c3454d222ef203a3edf88fadd181cbb7a42f9e8dc6895e0259170986537dd</v>
      </c>
      <c r="F12" s="13" t="str" cm="1">
        <f t="array" ref="F12">macroCRDPProtect(A12,B12,D12,FALSE)</f>
        <v>1003000</v>
      </c>
    </row>
    <row r="13" spans="1:14" x14ac:dyDescent="0.25">
      <c r="A13" s="18" t="s">
        <v>121</v>
      </c>
      <c r="B13" s="9" t="s">
        <v>0</v>
      </c>
      <c r="C13" s="4">
        <f t="shared" si="0"/>
        <v>1011</v>
      </c>
      <c r="D13" s="27" t="str">
        <f t="shared" si="4"/>
        <v>1011 + This is a secret message</v>
      </c>
      <c r="E13" s="12" t="str" cm="1">
        <f t="array" ref="E13">macroCRDPProtect(A13,B13,D13,TRUE)</f>
        <v>5116a59f999e737850db14c28c098c54ecb482fd063a934b3024d9d3beaf3922</v>
      </c>
      <c r="F13" s="13" t="str" cm="1">
        <f t="array" ref="F13">macroCRDPProtect(A13,B13,D13,FALSE)</f>
        <v>1003000</v>
      </c>
    </row>
    <row r="14" spans="1:14" x14ac:dyDescent="0.25">
      <c r="A14" s="18" t="s">
        <v>121</v>
      </c>
      <c r="B14" s="9" t="s">
        <v>0</v>
      </c>
      <c r="C14" s="4">
        <f t="shared" si="0"/>
        <v>1012</v>
      </c>
      <c r="D14" s="27" t="str">
        <f t="shared" si="4"/>
        <v>1012 + This is a secret message</v>
      </c>
      <c r="E14" s="12" t="str" cm="1">
        <f t="array" ref="E14">macroCRDPProtect(A14,B14,D14,TRUE)</f>
        <v>de774401d2a4a3033329eccd7d99c08da79f868293dd31584c9ec5c8eb65ec84</v>
      </c>
      <c r="F14" s="13" t="str" cm="1">
        <f t="array" ref="F14">macroCRDPProtect(A14,B14,D14,FALSE)</f>
        <v>1003000</v>
      </c>
    </row>
    <row r="15" spans="1:14" x14ac:dyDescent="0.25">
      <c r="A15" s="18" t="s">
        <v>121</v>
      </c>
      <c r="B15" s="9" t="s">
        <v>0</v>
      </c>
      <c r="C15" s="4">
        <f t="shared" si="0"/>
        <v>1013</v>
      </c>
      <c r="D15" s="27" t="str">
        <f t="shared" si="4"/>
        <v>1013 + This is a secret message</v>
      </c>
      <c r="E15" s="12" t="str" cm="1">
        <f t="array" ref="E15">macroCRDPProtect(A15,B15,D15,TRUE)</f>
        <v>eb1b7500bd02f6e456510f22091ff10cc0fff3e81efdd8664938eca09fa6fb8a</v>
      </c>
      <c r="F15" s="13" t="str" cm="1">
        <f t="array" ref="F15">macroCRDPProtect(A15,B15,D15,FALSE)</f>
        <v>1003000</v>
      </c>
    </row>
    <row r="16" spans="1:14" x14ac:dyDescent="0.25">
      <c r="A16" s="18" t="s">
        <v>121</v>
      </c>
      <c r="B16" s="9" t="s">
        <v>0</v>
      </c>
      <c r="C16" s="4">
        <f t="shared" ref="C16:C79" si="5">C15+1</f>
        <v>1014</v>
      </c>
      <c r="D16" s="27" t="str">
        <f t="shared" si="4"/>
        <v>1014 + This is a secret message</v>
      </c>
      <c r="E16" s="12" t="str" cm="1">
        <f t="array" ref="E16">macroCRDPProtect(A16,B16,D16,TRUE)</f>
        <v>698f1e67079af71069b7ebec27a3ffefc754d1ca5d4f5a69a688540ca65287c5</v>
      </c>
      <c r="F16" s="13" t="str" cm="1">
        <f t="array" ref="F16">macroCRDPProtect(A16,B16,D16,FALSE)</f>
        <v>1003000</v>
      </c>
    </row>
    <row r="17" spans="1:6" x14ac:dyDescent="0.25">
      <c r="A17" s="18" t="s">
        <v>121</v>
      </c>
      <c r="B17" s="9" t="s">
        <v>0</v>
      </c>
      <c r="C17" s="4">
        <f t="shared" si="5"/>
        <v>1015</v>
      </c>
      <c r="D17" s="27" t="str">
        <f t="shared" si="4"/>
        <v>1015 + This is a secret message</v>
      </c>
      <c r="E17" s="12" t="str" cm="1">
        <f t="array" ref="E17">macroCRDPProtect(A17,B17,D17,TRUE)</f>
        <v>881cbee5f87e03d2b5dc8c0668954a65501b42c349d62edb76c789ff75f51daf</v>
      </c>
      <c r="F17" s="13" t="str" cm="1">
        <f t="array" ref="F17">macroCRDPProtect(A17,B17,D17,FALSE)</f>
        <v>1003000</v>
      </c>
    </row>
    <row r="18" spans="1:6" x14ac:dyDescent="0.25">
      <c r="A18" s="18" t="s">
        <v>121</v>
      </c>
      <c r="B18" s="9" t="s">
        <v>0</v>
      </c>
      <c r="C18" s="4">
        <f t="shared" si="5"/>
        <v>1016</v>
      </c>
      <c r="D18" s="27" t="str">
        <f t="shared" si="4"/>
        <v>1016 + This is a secret message</v>
      </c>
      <c r="E18" s="12" t="str" cm="1">
        <f t="array" ref="E18">macroCRDPProtect(A18,B18,D18,TRUE)</f>
        <v>d38069a008d27b021e813a2da31b82d8d15e97ac8bf00dfdbc0c8ecd99551631</v>
      </c>
      <c r="F18" s="13" t="str" cm="1">
        <f t="array" ref="F18">macroCRDPProtect(A18,B18,D18,FALSE)</f>
        <v>1003000</v>
      </c>
    </row>
    <row r="19" spans="1:6" x14ac:dyDescent="0.25">
      <c r="A19" s="18" t="s">
        <v>121</v>
      </c>
      <c r="B19" s="9" t="s">
        <v>0</v>
      </c>
      <c r="C19" s="4">
        <f t="shared" si="5"/>
        <v>1017</v>
      </c>
      <c r="D19" s="27" t="str">
        <f t="shared" si="4"/>
        <v>1017 + This is a secret message</v>
      </c>
      <c r="E19" s="12" t="str" cm="1">
        <f t="array" ref="E19">macroCRDPProtect(A19,B19,D19,TRUE)</f>
        <v>588a0b964880a42536be1f3450ed851ebf0c73983f5e8373b08ef6a90883f42c</v>
      </c>
      <c r="F19" s="13" t="str" cm="1">
        <f t="array" ref="F19">macroCRDPProtect(A19,B19,D19,FALSE)</f>
        <v>1003000</v>
      </c>
    </row>
    <row r="20" spans="1:6" x14ac:dyDescent="0.25">
      <c r="A20" s="18" t="s">
        <v>121</v>
      </c>
      <c r="B20" s="9" t="s">
        <v>0</v>
      </c>
      <c r="C20" s="4">
        <f t="shared" si="5"/>
        <v>1018</v>
      </c>
      <c r="D20" s="27" t="str">
        <f t="shared" si="4"/>
        <v>1018 + This is a secret message</v>
      </c>
      <c r="E20" s="12" t="str" cm="1">
        <f t="array" ref="E20">macroCRDPProtect(A20,B20,D20,TRUE)</f>
        <v>d92d0eaded8e1f8251b20972c2a61771991af6033c4c2009655f2a87675f1d11</v>
      </c>
      <c r="F20" s="13" t="str" cm="1">
        <f t="array" ref="F20">macroCRDPProtect(A20,B20,D20,FALSE)</f>
        <v>1003000</v>
      </c>
    </row>
    <row r="21" spans="1:6" x14ac:dyDescent="0.25">
      <c r="A21" s="18" t="s">
        <v>121</v>
      </c>
      <c r="B21" s="9" t="s">
        <v>0</v>
      </c>
      <c r="C21" s="4">
        <f t="shared" si="5"/>
        <v>1019</v>
      </c>
      <c r="D21" s="27" t="str">
        <f t="shared" si="4"/>
        <v>1019 + This is a secret message</v>
      </c>
      <c r="E21" s="12" t="str" cm="1">
        <f t="array" ref="E21">macroCRDPProtect(A21,B21,D21,TRUE)</f>
        <v>cb0e49b5566959ae9a767f3e986232ff4f7add768b370fc424fc7b8ddf344a79</v>
      </c>
      <c r="F21" s="13" t="str" cm="1">
        <f t="array" ref="F21">macroCRDPProtect(A21,B21,D21,FALSE)</f>
        <v>1003000</v>
      </c>
    </row>
    <row r="22" spans="1:6" x14ac:dyDescent="0.25">
      <c r="A22" s="18" t="s">
        <v>121</v>
      </c>
      <c r="B22" s="9" t="s">
        <v>0</v>
      </c>
      <c r="C22" s="4">
        <f t="shared" si="5"/>
        <v>1020</v>
      </c>
      <c r="D22" s="27" t="str">
        <f t="shared" si="4"/>
        <v>1020 + This is a secret message</v>
      </c>
      <c r="E22" s="12" t="str" cm="1">
        <f t="array" ref="E22">macroCRDPProtect(A22,B22,D22,TRUE)</f>
        <v>dbf5b5f7c6ce2dcc66f5040a9c0ed038f73c64421d05f04eb0cc621b0346f941</v>
      </c>
      <c r="F22" s="13" t="str" cm="1">
        <f t="array" ref="F22">macroCRDPProtect(A22,B22,D22,FALSE)</f>
        <v>1003000</v>
      </c>
    </row>
    <row r="23" spans="1:6" x14ac:dyDescent="0.25">
      <c r="A23" s="18" t="s">
        <v>121</v>
      </c>
      <c r="B23" s="9" t="s">
        <v>0</v>
      </c>
      <c r="C23" s="4">
        <f t="shared" si="5"/>
        <v>1021</v>
      </c>
      <c r="D23" s="27" t="str">
        <f t="shared" si="4"/>
        <v>1021 + This is a secret message</v>
      </c>
      <c r="E23" s="12" t="str" cm="1">
        <f t="array" ref="E23">macroCRDPProtect(A23,B23,D23,TRUE)</f>
        <v>74a36714723a41d88300c9866fe141e9b4bc0c2bed27d835f2a9563b3db252fb</v>
      </c>
      <c r="F23" s="13" t="str" cm="1">
        <f t="array" ref="F23">macroCRDPProtect(A23,B23,D23,FALSE)</f>
        <v>1003000</v>
      </c>
    </row>
    <row r="24" spans="1:6" x14ac:dyDescent="0.25">
      <c r="A24" s="18" t="s">
        <v>121</v>
      </c>
      <c r="B24" s="9" t="s">
        <v>0</v>
      </c>
      <c r="C24" s="4">
        <f t="shared" si="5"/>
        <v>1022</v>
      </c>
      <c r="D24" s="27" t="str">
        <f t="shared" si="4"/>
        <v>1022 + This is a secret message</v>
      </c>
      <c r="E24" s="12" t="str" cm="1">
        <f t="array" ref="E24">macroCRDPProtect(A24,B24,D24,TRUE)</f>
        <v>417564ddab7ec9c22a9348f5d035c4048336804d7301952e75f5d24a142b446c</v>
      </c>
      <c r="F24" s="13" t="str" cm="1">
        <f t="array" ref="F24">macroCRDPProtect(A24,B24,D24,FALSE)</f>
        <v>1003000</v>
      </c>
    </row>
    <row r="25" spans="1:6" x14ac:dyDescent="0.25">
      <c r="A25" s="18" t="s">
        <v>121</v>
      </c>
      <c r="B25" s="9" t="s">
        <v>0</v>
      </c>
      <c r="C25" s="4">
        <f t="shared" si="5"/>
        <v>1023</v>
      </c>
      <c r="D25" s="27" t="str">
        <f t="shared" si="4"/>
        <v>1023 + This is a secret message</v>
      </c>
      <c r="E25" s="12" t="str" cm="1">
        <f t="array" ref="E25">macroCRDPProtect(A25,B25,D25,TRUE)</f>
        <v>d12aca5e9f5a49413515ccecb21dcbf28b7a9269e973f4e3c09f089ffe77ddc4</v>
      </c>
      <c r="F25" s="13" t="str" cm="1">
        <f t="array" ref="F25">macroCRDPProtect(A25,B25,D25,FALSE)</f>
        <v>1003000</v>
      </c>
    </row>
    <row r="26" spans="1:6" x14ac:dyDescent="0.25">
      <c r="A26" s="18" t="s">
        <v>121</v>
      </c>
      <c r="B26" s="9" t="s">
        <v>0</v>
      </c>
      <c r="C26" s="4">
        <f t="shared" si="5"/>
        <v>1024</v>
      </c>
      <c r="D26" s="27" t="str">
        <f t="shared" si="4"/>
        <v>1024 + This is a secret message</v>
      </c>
      <c r="E26" s="12" t="str" cm="1">
        <f t="array" ref="E26">macroCRDPProtect(A26,B26,D26,TRUE)</f>
        <v>8cdcb7fcb81f7a122fe8365699a816152253236a306eb6d8009fcac08629f38e</v>
      </c>
      <c r="F26" s="13" t="str" cm="1">
        <f t="array" ref="F26">macroCRDPProtect(A26,B26,D26,FALSE)</f>
        <v>1003000</v>
      </c>
    </row>
    <row r="27" spans="1:6" x14ac:dyDescent="0.25">
      <c r="A27" s="18" t="s">
        <v>121</v>
      </c>
      <c r="B27" s="9" t="s">
        <v>0</v>
      </c>
      <c r="C27" s="4">
        <f t="shared" si="5"/>
        <v>1025</v>
      </c>
      <c r="D27" s="27" t="str">
        <f t="shared" si="4"/>
        <v>1025 + This is a secret message</v>
      </c>
      <c r="E27" s="12" t="str" cm="1">
        <f t="array" ref="E27">macroCRDPProtect(A27,B27,D27,TRUE)</f>
        <v>e5743127f33f1f307b6291cba111f45090c61cbfed57774ea8917891e59606f1</v>
      </c>
      <c r="F27" s="13" t="str" cm="1">
        <f t="array" ref="F27">macroCRDPProtect(A27,B27,D27,FALSE)</f>
        <v>1003000</v>
      </c>
    </row>
    <row r="28" spans="1:6" x14ac:dyDescent="0.25">
      <c r="A28" s="18" t="s">
        <v>121</v>
      </c>
      <c r="B28" s="9" t="s">
        <v>0</v>
      </c>
      <c r="C28" s="4">
        <f t="shared" si="5"/>
        <v>1026</v>
      </c>
      <c r="D28" s="27" t="str">
        <f t="shared" si="4"/>
        <v>1026 + This is a secret message</v>
      </c>
      <c r="E28" s="12" t="str" cm="1">
        <f t="array" ref="E28">macroCRDPProtect(A28,B28,D28,TRUE)</f>
        <v>03793f59b0a104d812e9ecfe9dfc3f70059177cf22fbcb23b78680b0b02bb3c0</v>
      </c>
      <c r="F28" s="13" t="str" cm="1">
        <f t="array" ref="F28">macroCRDPProtect(A28,B28,D28,FALSE)</f>
        <v>1003000</v>
      </c>
    </row>
    <row r="29" spans="1:6" x14ac:dyDescent="0.25">
      <c r="A29" s="18" t="s">
        <v>121</v>
      </c>
      <c r="B29" s="9" t="s">
        <v>0</v>
      </c>
      <c r="C29" s="4">
        <f t="shared" si="5"/>
        <v>1027</v>
      </c>
      <c r="D29" s="27" t="str">
        <f t="shared" si="4"/>
        <v>1027 + This is a secret message</v>
      </c>
      <c r="E29" s="12" t="str" cm="1">
        <f t="array" ref="E29">macroCRDPProtect(A29,B29,D29,TRUE)</f>
        <v>197d2e6300252fb553c5dd7b903a551f6c17ca0a6537cfaf35149242994af67b</v>
      </c>
      <c r="F29" s="13" t="str" cm="1">
        <f t="array" ref="F29">macroCRDPProtect(A29,B29,D29,FALSE)</f>
        <v>1003000</v>
      </c>
    </row>
    <row r="30" spans="1:6" x14ac:dyDescent="0.25">
      <c r="A30" s="18" t="s">
        <v>121</v>
      </c>
      <c r="B30" s="9" t="s">
        <v>0</v>
      </c>
      <c r="C30" s="4">
        <f t="shared" si="5"/>
        <v>1028</v>
      </c>
      <c r="D30" s="27" t="str">
        <f t="shared" si="4"/>
        <v>1028 + This is a secret message</v>
      </c>
      <c r="E30" s="12" t="str" cm="1">
        <f t="array" ref="E30">macroCRDPProtect(A30,B30,D30,TRUE)</f>
        <v>509dc59624b297b20fe20aed1c7dd0d0fb2d218c285e7d5f2d8d1c2766c44d3d</v>
      </c>
      <c r="F30" s="13" t="str" cm="1">
        <f t="array" ref="F30">macroCRDPProtect(A30,B30,D30,FALSE)</f>
        <v>1003000</v>
      </c>
    </row>
    <row r="31" spans="1:6" x14ac:dyDescent="0.25">
      <c r="A31" s="18" t="s">
        <v>121</v>
      </c>
      <c r="B31" s="9" t="s">
        <v>0</v>
      </c>
      <c r="C31" s="4">
        <f t="shared" si="5"/>
        <v>1029</v>
      </c>
      <c r="D31" s="27" t="str">
        <f t="shared" si="4"/>
        <v>1029 + This is a secret message</v>
      </c>
      <c r="E31" s="12" t="str" cm="1">
        <f t="array" ref="E31">macroCRDPProtect(A31,B31,D31,TRUE)</f>
        <v>76fcda53d4a6a7638da7ffaa23232932835b2ab690d1f490f7844062c1ebb353</v>
      </c>
      <c r="F31" s="13" t="str" cm="1">
        <f t="array" ref="F31">macroCRDPProtect(A31,B31,D31,FALSE)</f>
        <v>1003000</v>
      </c>
    </row>
    <row r="32" spans="1:6" x14ac:dyDescent="0.25">
      <c r="A32" s="18" t="s">
        <v>121</v>
      </c>
      <c r="B32" s="9" t="s">
        <v>0</v>
      </c>
      <c r="C32" s="4">
        <f t="shared" si="5"/>
        <v>1030</v>
      </c>
      <c r="D32" s="27" t="str">
        <f t="shared" si="4"/>
        <v>1030 + This is a secret message</v>
      </c>
      <c r="E32" s="12" t="str" cm="1">
        <f t="array" ref="E32">macroCRDPProtect(A32,B32,D32,TRUE)</f>
        <v>61463bf8c03b082b6f751d59b72c2a77092d89136027b8f42d056c53fccf05e3</v>
      </c>
      <c r="F32" s="13" t="str" cm="1">
        <f t="array" ref="F32">macroCRDPProtect(A32,B32,D32,FALSE)</f>
        <v>1003000</v>
      </c>
    </row>
    <row r="33" spans="1:6" x14ac:dyDescent="0.25">
      <c r="A33" s="18" t="s">
        <v>121</v>
      </c>
      <c r="B33" s="9" t="s">
        <v>0</v>
      </c>
      <c r="C33" s="4">
        <f t="shared" si="5"/>
        <v>1031</v>
      </c>
      <c r="D33" s="27" t="str">
        <f t="shared" si="4"/>
        <v>1031 + This is a secret message</v>
      </c>
      <c r="E33" s="12" t="str" cm="1">
        <f t="array" ref="E33">macroCRDPProtect(A33,B33,D33,TRUE)</f>
        <v>3f1ab292fcd26df5e202fc18cfc872c125e5b786c05d659a535f06f702b25867</v>
      </c>
      <c r="F33" s="13" t="str" cm="1">
        <f t="array" ref="F33">macroCRDPProtect(A33,B33,D33,FALSE)</f>
        <v>1003000</v>
      </c>
    </row>
    <row r="34" spans="1:6" x14ac:dyDescent="0.25">
      <c r="A34" s="18" t="s">
        <v>121</v>
      </c>
      <c r="B34" s="9" t="s">
        <v>0</v>
      </c>
      <c r="C34" s="4">
        <f t="shared" si="5"/>
        <v>1032</v>
      </c>
      <c r="D34" s="27" t="str">
        <f t="shared" si="4"/>
        <v>1032 + This is a secret message</v>
      </c>
      <c r="E34" s="12" t="str" cm="1">
        <f t="array" ref="E34">macroCRDPProtect(A34,B34,D34,TRUE)</f>
        <v>3ef2215617e99dab72f071b78f2a50e1ba0a95f55fdac6881def0f798c218c24</v>
      </c>
      <c r="F34" s="13" t="str" cm="1">
        <f t="array" ref="F34">macroCRDPProtect(A34,B34,D34,FALSE)</f>
        <v>1003000</v>
      </c>
    </row>
    <row r="35" spans="1:6" x14ac:dyDescent="0.25">
      <c r="A35" s="18" t="s">
        <v>121</v>
      </c>
      <c r="B35" s="9" t="s">
        <v>0</v>
      </c>
      <c r="C35" s="4">
        <f t="shared" si="5"/>
        <v>1033</v>
      </c>
      <c r="D35" s="27" t="str">
        <f t="shared" si="4"/>
        <v>1033 + This is a secret message</v>
      </c>
      <c r="E35" s="12" t="str" cm="1">
        <f t="array" ref="E35">macroCRDPProtect(A35,B35,D35,TRUE)</f>
        <v>4fb05602fb807bedd19c91cab1739c9ba06bf2b264d184b3d88d6d7235cbfc6e</v>
      </c>
      <c r="F35" s="13" t="str" cm="1">
        <f t="array" ref="F35">macroCRDPProtect(A35,B35,D35,FALSE)</f>
        <v>1003000</v>
      </c>
    </row>
    <row r="36" spans="1:6" x14ac:dyDescent="0.25">
      <c r="A36" s="18" t="s">
        <v>121</v>
      </c>
      <c r="B36" s="9" t="s">
        <v>0</v>
      </c>
      <c r="C36" s="4">
        <f t="shared" si="5"/>
        <v>1034</v>
      </c>
      <c r="D36" s="27" t="str">
        <f t="shared" ref="D36:D67" si="6">_xlfn.CONCAT(C36," + This is a secret message")</f>
        <v>1034 + This is a secret message</v>
      </c>
      <c r="E36" s="12" t="str" cm="1">
        <f t="array" ref="E36">macroCRDPProtect(A36,B36,D36,TRUE)</f>
        <v>38e4d6b19e27fcd862ff7ba971fe61e3efbaee1e3ac754450f7996f83099c734</v>
      </c>
      <c r="F36" s="13" t="str" cm="1">
        <f t="array" ref="F36">macroCRDPProtect(A36,B36,D36,FALSE)</f>
        <v>1003000</v>
      </c>
    </row>
    <row r="37" spans="1:6" x14ac:dyDescent="0.25">
      <c r="A37" s="18" t="s">
        <v>121</v>
      </c>
      <c r="B37" s="9" t="s">
        <v>0</v>
      </c>
      <c r="C37" s="4">
        <f t="shared" si="5"/>
        <v>1035</v>
      </c>
      <c r="D37" s="27" t="str">
        <f t="shared" si="6"/>
        <v>1035 + This is a secret message</v>
      </c>
      <c r="E37" s="12" t="str" cm="1">
        <f t="array" ref="E37">macroCRDPProtect(A37,B37,D37,TRUE)</f>
        <v>72e11dddaca9e759123cc040ba1562c8ccdad5f2dc50c6d8aca810b3e6603c74</v>
      </c>
      <c r="F37" s="13" t="str" cm="1">
        <f t="array" ref="F37">macroCRDPProtect(A37,B37,D37,FALSE)</f>
        <v>1003000</v>
      </c>
    </row>
    <row r="38" spans="1:6" x14ac:dyDescent="0.25">
      <c r="A38" s="18" t="s">
        <v>121</v>
      </c>
      <c r="B38" s="9" t="s">
        <v>0</v>
      </c>
      <c r="C38" s="4">
        <f t="shared" si="5"/>
        <v>1036</v>
      </c>
      <c r="D38" s="27" t="str">
        <f t="shared" si="6"/>
        <v>1036 + This is a secret message</v>
      </c>
      <c r="E38" s="12" t="str" cm="1">
        <f t="array" ref="E38">macroCRDPProtect(A38,B38,D38,TRUE)</f>
        <v>55260920f5e4f9f9c39571bf99b085bd2017119c487b78f1aab00139d22586dc</v>
      </c>
      <c r="F38" s="13" t="str" cm="1">
        <f t="array" ref="F38">macroCRDPProtect(A38,B38,D38,FALSE)</f>
        <v>1003000</v>
      </c>
    </row>
    <row r="39" spans="1:6" x14ac:dyDescent="0.25">
      <c r="A39" s="18" t="s">
        <v>121</v>
      </c>
      <c r="B39" s="9" t="s">
        <v>0</v>
      </c>
      <c r="C39" s="4">
        <f t="shared" si="5"/>
        <v>1037</v>
      </c>
      <c r="D39" s="27" t="str">
        <f t="shared" si="6"/>
        <v>1037 + This is a secret message</v>
      </c>
      <c r="E39" s="12" t="str" cm="1">
        <f t="array" ref="E39">macroCRDPProtect(A39,B39,D39,TRUE)</f>
        <v>533393f2aecefb1d2b7cf97c36c202b35a590c0d0fe90380bb9d24ab129b04df</v>
      </c>
      <c r="F39" s="13" t="str" cm="1">
        <f t="array" ref="F39">macroCRDPProtect(A39,B39,D39,FALSE)</f>
        <v>1003000</v>
      </c>
    </row>
    <row r="40" spans="1:6" x14ac:dyDescent="0.25">
      <c r="A40" s="18" t="s">
        <v>121</v>
      </c>
      <c r="B40" s="9" t="s">
        <v>0</v>
      </c>
      <c r="C40" s="4">
        <f t="shared" si="5"/>
        <v>1038</v>
      </c>
      <c r="D40" s="27" t="str">
        <f t="shared" si="6"/>
        <v>1038 + This is a secret message</v>
      </c>
      <c r="E40" s="12" t="str" cm="1">
        <f t="array" ref="E40">macroCRDPProtect(A40,B40,D40,TRUE)</f>
        <v>7461b0a77b615fd75d231f3382062a76a5e380fb90253edf507444f2a6c637ce</v>
      </c>
      <c r="F40" s="13" t="str" cm="1">
        <f t="array" ref="F40">macroCRDPProtect(A40,B40,D40,FALSE)</f>
        <v>1003000</v>
      </c>
    </row>
    <row r="41" spans="1:6" x14ac:dyDescent="0.25">
      <c r="A41" s="18" t="s">
        <v>121</v>
      </c>
      <c r="B41" s="9" t="s">
        <v>0</v>
      </c>
      <c r="C41" s="4">
        <f t="shared" si="5"/>
        <v>1039</v>
      </c>
      <c r="D41" s="27" t="str">
        <f t="shared" si="6"/>
        <v>1039 + This is a secret message</v>
      </c>
      <c r="E41" s="12" t="str" cm="1">
        <f t="array" ref="E41">macroCRDPProtect(A41,B41,D41,TRUE)</f>
        <v>a7c450f6d4cc271f94f2a166d04676f10f6282e20f4035797721aa2806746b79</v>
      </c>
      <c r="F41" s="13" t="str" cm="1">
        <f t="array" ref="F41">macroCRDPProtect(A41,B41,D41,FALSE)</f>
        <v>1003000</v>
      </c>
    </row>
    <row r="42" spans="1:6" x14ac:dyDescent="0.25">
      <c r="A42" s="18" t="s">
        <v>121</v>
      </c>
      <c r="B42" s="9" t="s">
        <v>0</v>
      </c>
      <c r="C42" s="4">
        <f t="shared" si="5"/>
        <v>1040</v>
      </c>
      <c r="D42" s="27" t="str">
        <f t="shared" si="6"/>
        <v>1040 + This is a secret message</v>
      </c>
      <c r="E42" s="12" t="str" cm="1">
        <f t="array" ref="E42">macroCRDPProtect(A42,B42,D42,TRUE)</f>
        <v>2d0f3d0f3f823250f167b3195797fffda45a9b7515d54fa74f3fa05dd770ad6e</v>
      </c>
      <c r="F42" s="13" t="str" cm="1">
        <f t="array" ref="F42">macroCRDPProtect(A42,B42,D42,FALSE)</f>
        <v>1003000</v>
      </c>
    </row>
    <row r="43" spans="1:6" x14ac:dyDescent="0.25">
      <c r="A43" s="18" t="s">
        <v>121</v>
      </c>
      <c r="B43" s="9" t="s">
        <v>0</v>
      </c>
      <c r="C43" s="4">
        <f t="shared" si="5"/>
        <v>1041</v>
      </c>
      <c r="D43" s="27" t="str">
        <f t="shared" si="6"/>
        <v>1041 + This is a secret message</v>
      </c>
      <c r="E43" s="12" t="str" cm="1">
        <f t="array" ref="E43">macroCRDPProtect(A43,B43,D43,TRUE)</f>
        <v>de1c90a94a167c6fd8cb5287844fce837afa83680ca0bc8473a004595ea3a617</v>
      </c>
      <c r="F43" s="13" t="str" cm="1">
        <f t="array" ref="F43">macroCRDPProtect(A43,B43,D43,FALSE)</f>
        <v>1003000</v>
      </c>
    </row>
    <row r="44" spans="1:6" x14ac:dyDescent="0.25">
      <c r="A44" s="18" t="s">
        <v>121</v>
      </c>
      <c r="B44" s="9" t="s">
        <v>0</v>
      </c>
      <c r="C44" s="4">
        <f t="shared" si="5"/>
        <v>1042</v>
      </c>
      <c r="D44" s="27" t="str">
        <f t="shared" si="6"/>
        <v>1042 + This is a secret message</v>
      </c>
      <c r="E44" s="12" t="str" cm="1">
        <f t="array" ref="E44">macroCRDPProtect(A44,B44,D44,TRUE)</f>
        <v>a1dbc5fe7ff93f5b225e67ede342cc5ad44b1244e76700d361db5d1c814e218a</v>
      </c>
      <c r="F44" s="13" t="str" cm="1">
        <f t="array" ref="F44">macroCRDPProtect(A44,B44,D44,FALSE)</f>
        <v>1003000</v>
      </c>
    </row>
    <row r="45" spans="1:6" x14ac:dyDescent="0.25">
      <c r="A45" s="18" t="s">
        <v>121</v>
      </c>
      <c r="B45" s="9" t="s">
        <v>0</v>
      </c>
      <c r="C45" s="4">
        <f t="shared" si="5"/>
        <v>1043</v>
      </c>
      <c r="D45" s="27" t="str">
        <f t="shared" si="6"/>
        <v>1043 + This is a secret message</v>
      </c>
      <c r="E45" s="12" t="str" cm="1">
        <f t="array" ref="E45">macroCRDPProtect(A45,B45,D45,TRUE)</f>
        <v>7a64715965e546d4e133fb4f7732567a3d8ec85f2d406a096a3ef932b8faf679</v>
      </c>
      <c r="F45" s="13" t="str" cm="1">
        <f t="array" ref="F45">macroCRDPProtect(A45,B45,D45,FALSE)</f>
        <v>1003000</v>
      </c>
    </row>
    <row r="46" spans="1:6" x14ac:dyDescent="0.25">
      <c r="A46" s="18" t="s">
        <v>121</v>
      </c>
      <c r="B46" s="9" t="s">
        <v>0</v>
      </c>
      <c r="C46" s="4">
        <f t="shared" si="5"/>
        <v>1044</v>
      </c>
      <c r="D46" s="27" t="str">
        <f t="shared" si="6"/>
        <v>1044 + This is a secret message</v>
      </c>
      <c r="E46" s="12" t="str" cm="1">
        <f t="array" ref="E46">macroCRDPProtect(A46,B46,D46,TRUE)</f>
        <v>7abb4ff80412250f7145ab04459068dafc9f60ebc29068abdb2c26ef4824579d</v>
      </c>
      <c r="F46" s="13" t="str" cm="1">
        <f t="array" ref="F46">macroCRDPProtect(A46,B46,D46,FALSE)</f>
        <v>1003000</v>
      </c>
    </row>
    <row r="47" spans="1:6" x14ac:dyDescent="0.25">
      <c r="A47" s="18" t="s">
        <v>121</v>
      </c>
      <c r="B47" s="9" t="s">
        <v>0</v>
      </c>
      <c r="C47" s="4">
        <f t="shared" si="5"/>
        <v>1045</v>
      </c>
      <c r="D47" s="27" t="str">
        <f t="shared" si="6"/>
        <v>1045 + This is a secret message</v>
      </c>
      <c r="E47" s="12" t="str" cm="1">
        <f t="array" ref="E47">macroCRDPProtect(A47,B47,D47,TRUE)</f>
        <v>09d8480c1a138f9a698efd21be3f6e5344af626fa2f28e9a51c6f248623760ac</v>
      </c>
      <c r="F47" s="13" t="str" cm="1">
        <f t="array" ref="F47">macroCRDPProtect(A47,B47,D47,FALSE)</f>
        <v>1003000</v>
      </c>
    </row>
    <row r="48" spans="1:6" x14ac:dyDescent="0.25">
      <c r="A48" s="18" t="s">
        <v>121</v>
      </c>
      <c r="B48" s="9" t="s">
        <v>0</v>
      </c>
      <c r="C48" s="4">
        <f t="shared" si="5"/>
        <v>1046</v>
      </c>
      <c r="D48" s="27" t="str">
        <f t="shared" si="6"/>
        <v>1046 + This is a secret message</v>
      </c>
      <c r="E48" s="12" t="str" cm="1">
        <f t="array" ref="E48">macroCRDPProtect(A48,B48,D48,TRUE)</f>
        <v>d6ad9bdcf9bb6287211f185f6e05c50a4d563e1ccb403d8f49d2030e806d115f</v>
      </c>
      <c r="F48" s="13" t="str" cm="1">
        <f t="array" ref="F48">macroCRDPProtect(A48,B48,D48,FALSE)</f>
        <v>1003000</v>
      </c>
    </row>
    <row r="49" spans="1:6" x14ac:dyDescent="0.25">
      <c r="A49" s="18" t="s">
        <v>121</v>
      </c>
      <c r="B49" s="9" t="s">
        <v>0</v>
      </c>
      <c r="C49" s="4">
        <f t="shared" si="5"/>
        <v>1047</v>
      </c>
      <c r="D49" s="27" t="str">
        <f t="shared" si="6"/>
        <v>1047 + This is a secret message</v>
      </c>
      <c r="E49" s="12" t="str" cm="1">
        <f t="array" ref="E49">macroCRDPProtect(A49,B49,D49,TRUE)</f>
        <v>18396f8299237f9257a6fd88b082717d162a62124b4bc851ad97caff0d5bcd20</v>
      </c>
      <c r="F49" s="13" t="str" cm="1">
        <f t="array" ref="F49">macroCRDPProtect(A49,B49,D49,FALSE)</f>
        <v>1003000</v>
      </c>
    </row>
    <row r="50" spans="1:6" x14ac:dyDescent="0.25">
      <c r="A50" s="18" t="s">
        <v>121</v>
      </c>
      <c r="B50" s="9" t="s">
        <v>0</v>
      </c>
      <c r="C50" s="4">
        <f t="shared" si="5"/>
        <v>1048</v>
      </c>
      <c r="D50" s="27" t="str">
        <f t="shared" si="6"/>
        <v>1048 + This is a secret message</v>
      </c>
      <c r="E50" s="12" t="str" cm="1">
        <f t="array" ref="E50">macroCRDPProtect(A50,B50,D50,TRUE)</f>
        <v>0ad04c736d8d8c6418d5931f576ec78a8491b77d4931ef34a5f4a38a8651bce6</v>
      </c>
      <c r="F50" s="13" t="str" cm="1">
        <f t="array" ref="F50">macroCRDPProtect(A50,B50,D50,FALSE)</f>
        <v>1003000</v>
      </c>
    </row>
    <row r="51" spans="1:6" x14ac:dyDescent="0.25">
      <c r="A51" s="18" t="s">
        <v>121</v>
      </c>
      <c r="B51" s="9" t="s">
        <v>0</v>
      </c>
      <c r="C51" s="4">
        <f t="shared" si="5"/>
        <v>1049</v>
      </c>
      <c r="D51" s="27" t="str">
        <f t="shared" si="6"/>
        <v>1049 + This is a secret message</v>
      </c>
      <c r="E51" s="12" t="str" cm="1">
        <f t="array" ref="E51">macroCRDPProtect(A51,B51,D51,TRUE)</f>
        <v>aaff65035996d5fac775a1cb8cfe9801da23faf657df28a0c7e5d17fc0989627</v>
      </c>
      <c r="F51" s="13" t="str" cm="1">
        <f t="array" ref="F51">macroCRDPProtect(A51,B51,D51,FALSE)</f>
        <v>1003000</v>
      </c>
    </row>
    <row r="52" spans="1:6" x14ac:dyDescent="0.25">
      <c r="A52" s="18" t="s">
        <v>121</v>
      </c>
      <c r="B52" s="9" t="s">
        <v>0</v>
      </c>
      <c r="C52" s="4">
        <f t="shared" si="5"/>
        <v>1050</v>
      </c>
      <c r="D52" s="27" t="str">
        <f t="shared" si="6"/>
        <v>1050 + This is a secret message</v>
      </c>
      <c r="E52" s="12" t="str" cm="1">
        <f t="array" ref="E52">macroCRDPProtect(A52,B52,D52,TRUE)</f>
        <v>832b121f957c60e936c5eedf47cc6f1975d8052c1a98b00b8281556dcd616269</v>
      </c>
      <c r="F52" s="13" t="str" cm="1">
        <f t="array" ref="F52">macroCRDPProtect(A52,B52,D52,FALSE)</f>
        <v>1003000</v>
      </c>
    </row>
    <row r="53" spans="1:6" x14ac:dyDescent="0.25">
      <c r="A53" s="18" t="s">
        <v>121</v>
      </c>
      <c r="B53" s="9" t="s">
        <v>0</v>
      </c>
      <c r="C53" s="4">
        <f t="shared" si="5"/>
        <v>1051</v>
      </c>
      <c r="D53" s="27" t="str">
        <f t="shared" si="6"/>
        <v>1051 + This is a secret message</v>
      </c>
      <c r="E53" s="12" t="str" cm="1">
        <f t="array" ref="E53">macroCRDPProtect(A53,B53,D53,TRUE)</f>
        <v>1480054be24c8b0d0d01058365825b7a11184380a853d48808655a2c03381946</v>
      </c>
      <c r="F53" s="13" t="str" cm="1">
        <f t="array" ref="F53">macroCRDPProtect(A53,B53,D53,FALSE)</f>
        <v>1003000</v>
      </c>
    </row>
    <row r="54" spans="1:6" x14ac:dyDescent="0.25">
      <c r="A54" s="18" t="s">
        <v>121</v>
      </c>
      <c r="B54" s="9" t="s">
        <v>0</v>
      </c>
      <c r="C54" s="4">
        <f t="shared" si="5"/>
        <v>1052</v>
      </c>
      <c r="D54" s="27" t="str">
        <f t="shared" si="6"/>
        <v>1052 + This is a secret message</v>
      </c>
      <c r="E54" s="12" t="str" cm="1">
        <f t="array" ref="E54">macroCRDPProtect(A54,B54,D54,TRUE)</f>
        <v>c04a93f8b03ae93c0909e1c1c20a3200b1ecc1b39c4b3ffc6ed3b32f361bc5c6</v>
      </c>
      <c r="F54" s="13" t="str" cm="1">
        <f t="array" ref="F54">macroCRDPProtect(A54,B54,D54,FALSE)</f>
        <v>1003000</v>
      </c>
    </row>
    <row r="55" spans="1:6" x14ac:dyDescent="0.25">
      <c r="A55" s="18" t="s">
        <v>121</v>
      </c>
      <c r="B55" s="9" t="s">
        <v>0</v>
      </c>
      <c r="C55" s="4">
        <f t="shared" si="5"/>
        <v>1053</v>
      </c>
      <c r="D55" s="27" t="str">
        <f t="shared" si="6"/>
        <v>1053 + This is a secret message</v>
      </c>
      <c r="E55" s="12" t="str" cm="1">
        <f t="array" ref="E55">macroCRDPProtect(A55,B55,D55,TRUE)</f>
        <v>822db0af04ec72da58ba25ef1335f1f8dd9b3dbe025e56db370ed05639ab71c4</v>
      </c>
      <c r="F55" s="13" t="str" cm="1">
        <f t="array" ref="F55">macroCRDPProtect(A55,B55,D55,FALSE)</f>
        <v>1003000</v>
      </c>
    </row>
    <row r="56" spans="1:6" x14ac:dyDescent="0.25">
      <c r="A56" s="18" t="s">
        <v>121</v>
      </c>
      <c r="B56" s="9" t="s">
        <v>0</v>
      </c>
      <c r="C56" s="4">
        <f t="shared" si="5"/>
        <v>1054</v>
      </c>
      <c r="D56" s="27" t="str">
        <f t="shared" si="6"/>
        <v>1054 + This is a secret message</v>
      </c>
      <c r="E56" s="12" t="str" cm="1">
        <f t="array" ref="E56">macroCRDPProtect(A56,B56,D56,TRUE)</f>
        <v>969a72abf429cc00aa459a89c8691e9d022691f31e0204132a99d1a195e9ca83</v>
      </c>
      <c r="F56" s="13" t="str" cm="1">
        <f t="array" ref="F56">macroCRDPProtect(A56,B56,D56,FALSE)</f>
        <v>1003000</v>
      </c>
    </row>
    <row r="57" spans="1:6" x14ac:dyDescent="0.25">
      <c r="A57" s="18" t="s">
        <v>121</v>
      </c>
      <c r="B57" s="9" t="s">
        <v>0</v>
      </c>
      <c r="C57" s="4">
        <f t="shared" si="5"/>
        <v>1055</v>
      </c>
      <c r="D57" s="27" t="str">
        <f t="shared" si="6"/>
        <v>1055 + This is a secret message</v>
      </c>
      <c r="E57" s="12" t="str" cm="1">
        <f t="array" ref="E57">macroCRDPProtect(A57,B57,D57,TRUE)</f>
        <v>41967b585960e9a721d5b504ce0ed865b7952d00c800db06ba440c0a06f6a354</v>
      </c>
      <c r="F57" s="13" t="str" cm="1">
        <f t="array" ref="F57">macroCRDPProtect(A57,B57,D57,FALSE)</f>
        <v>1003000</v>
      </c>
    </row>
    <row r="58" spans="1:6" x14ac:dyDescent="0.25">
      <c r="A58" s="18" t="s">
        <v>121</v>
      </c>
      <c r="B58" s="9" t="s">
        <v>0</v>
      </c>
      <c r="C58" s="4">
        <f t="shared" si="5"/>
        <v>1056</v>
      </c>
      <c r="D58" s="27" t="str">
        <f t="shared" si="6"/>
        <v>1056 + This is a secret message</v>
      </c>
      <c r="E58" s="12" t="str" cm="1">
        <f t="array" ref="E58">macroCRDPProtect(A58,B58,D58,TRUE)</f>
        <v>df42f95d1102cc2c2cda8161d704cac337d9814b7aeebf2523dbaf38158bb28c</v>
      </c>
      <c r="F58" s="13" t="str" cm="1">
        <f t="array" ref="F58">macroCRDPProtect(A58,B58,D58,FALSE)</f>
        <v>1003000</v>
      </c>
    </row>
    <row r="59" spans="1:6" x14ac:dyDescent="0.25">
      <c r="A59" s="18" t="s">
        <v>121</v>
      </c>
      <c r="B59" s="9" t="s">
        <v>0</v>
      </c>
      <c r="C59" s="4">
        <f t="shared" si="5"/>
        <v>1057</v>
      </c>
      <c r="D59" s="27" t="str">
        <f t="shared" si="6"/>
        <v>1057 + This is a secret message</v>
      </c>
      <c r="E59" s="12" t="str" cm="1">
        <f t="array" ref="E59">macroCRDPProtect(A59,B59,D59,TRUE)</f>
        <v>ae7270556c33d0b38fdee24153ecf0a34f5fe69c7d8a5b256fdc0624f445d0e0</v>
      </c>
      <c r="F59" s="13" t="str" cm="1">
        <f t="array" ref="F59">macroCRDPProtect(A59,B59,D59,FALSE)</f>
        <v>1003000</v>
      </c>
    </row>
    <row r="60" spans="1:6" x14ac:dyDescent="0.25">
      <c r="A60" s="18" t="s">
        <v>121</v>
      </c>
      <c r="B60" s="9" t="s">
        <v>0</v>
      </c>
      <c r="C60" s="4">
        <f t="shared" si="5"/>
        <v>1058</v>
      </c>
      <c r="D60" s="27" t="str">
        <f t="shared" si="6"/>
        <v>1058 + This is a secret message</v>
      </c>
      <c r="E60" s="12" t="str" cm="1">
        <f t="array" ref="E60">macroCRDPProtect(A60,B60,D60,TRUE)</f>
        <v>671df4175cc4eba588c88c4b58951ecda9d741bde1dddad3244b31eb1c158196</v>
      </c>
      <c r="F60" s="13" t="str" cm="1">
        <f t="array" ref="F60">macroCRDPProtect(A60,B60,D60,FALSE)</f>
        <v>1003000</v>
      </c>
    </row>
    <row r="61" spans="1:6" x14ac:dyDescent="0.25">
      <c r="A61" s="18" t="s">
        <v>121</v>
      </c>
      <c r="B61" s="9" t="s">
        <v>0</v>
      </c>
      <c r="C61" s="4">
        <f t="shared" si="5"/>
        <v>1059</v>
      </c>
      <c r="D61" s="27" t="str">
        <f t="shared" si="6"/>
        <v>1059 + This is a secret message</v>
      </c>
      <c r="E61" s="12" t="str" cm="1">
        <f t="array" ref="E61">macroCRDPProtect(A61,B61,D61,TRUE)</f>
        <v>e04cd8b728cca91c534f96902aa1849e321d8537784b8d3b4b198d0e55400267</v>
      </c>
      <c r="F61" s="13" t="str" cm="1">
        <f t="array" ref="F61">macroCRDPProtect(A61,B61,D61,FALSE)</f>
        <v>1003000</v>
      </c>
    </row>
    <row r="62" spans="1:6" x14ac:dyDescent="0.25">
      <c r="A62" s="18" t="s">
        <v>121</v>
      </c>
      <c r="B62" s="9" t="s">
        <v>0</v>
      </c>
      <c r="C62" s="4">
        <f t="shared" si="5"/>
        <v>1060</v>
      </c>
      <c r="D62" s="27" t="str">
        <f t="shared" si="6"/>
        <v>1060 + This is a secret message</v>
      </c>
      <c r="E62" s="12" t="str" cm="1">
        <f t="array" ref="E62">macroCRDPProtect(A62,B62,D62,TRUE)</f>
        <v>39e0d5fa699864592c18d8fc8264d5077d761c6ed4e69aed9e55f6f99454c765</v>
      </c>
      <c r="F62" s="13" t="str" cm="1">
        <f t="array" ref="F62">macroCRDPProtect(A62,B62,D62,FALSE)</f>
        <v>1003000</v>
      </c>
    </row>
    <row r="63" spans="1:6" x14ac:dyDescent="0.25">
      <c r="A63" s="18" t="s">
        <v>121</v>
      </c>
      <c r="B63" s="9" t="s">
        <v>0</v>
      </c>
      <c r="C63" s="4">
        <f t="shared" si="5"/>
        <v>1061</v>
      </c>
      <c r="D63" s="27" t="str">
        <f t="shared" si="6"/>
        <v>1061 + This is a secret message</v>
      </c>
      <c r="E63" s="12" t="str" cm="1">
        <f t="array" ref="E63">macroCRDPProtect(A63,B63,D63,TRUE)</f>
        <v>a867c486c54cb2ca6bb9ca9208a47c02b04e5bdb75715e0109382f0d477ce5f6</v>
      </c>
      <c r="F63" s="13" t="str" cm="1">
        <f t="array" ref="F63">macroCRDPProtect(A63,B63,D63,FALSE)</f>
        <v>1003000</v>
      </c>
    </row>
    <row r="64" spans="1:6" x14ac:dyDescent="0.25">
      <c r="A64" s="18" t="s">
        <v>121</v>
      </c>
      <c r="B64" s="9" t="s">
        <v>0</v>
      </c>
      <c r="C64" s="4">
        <f t="shared" si="5"/>
        <v>1062</v>
      </c>
      <c r="D64" s="27" t="str">
        <f t="shared" si="6"/>
        <v>1062 + This is a secret message</v>
      </c>
      <c r="E64" s="12" t="str" cm="1">
        <f t="array" ref="E64">macroCRDPProtect(A64,B64,D64,TRUE)</f>
        <v>c48cd62159600b06ed48f32caafb78b57d27926ae26b62b5ef4bcdd3b60ff085</v>
      </c>
      <c r="F64" s="13" t="str" cm="1">
        <f t="array" ref="F64">macroCRDPProtect(A64,B64,D64,FALSE)</f>
        <v>1003000</v>
      </c>
    </row>
    <row r="65" spans="1:6" x14ac:dyDescent="0.25">
      <c r="A65" s="18" t="s">
        <v>121</v>
      </c>
      <c r="B65" s="9" t="s">
        <v>0</v>
      </c>
      <c r="C65" s="4">
        <f t="shared" si="5"/>
        <v>1063</v>
      </c>
      <c r="D65" s="27" t="str">
        <f t="shared" si="6"/>
        <v>1063 + This is a secret message</v>
      </c>
      <c r="E65" s="12" t="str" cm="1">
        <f t="array" ref="E65">macroCRDPProtect(A65,B65,D65,TRUE)</f>
        <v>51577694ee62dd1cafc4b137772984c7dcba661c8192f1cbe5dd4367ddf22d17</v>
      </c>
      <c r="F65" s="13" t="str" cm="1">
        <f t="array" ref="F65">macroCRDPProtect(A65,B65,D65,FALSE)</f>
        <v>1003000</v>
      </c>
    </row>
    <row r="66" spans="1:6" x14ac:dyDescent="0.25">
      <c r="A66" s="18" t="s">
        <v>121</v>
      </c>
      <c r="B66" s="9" t="s">
        <v>0</v>
      </c>
      <c r="C66" s="4">
        <f t="shared" si="5"/>
        <v>1064</v>
      </c>
      <c r="D66" s="27" t="str">
        <f t="shared" si="6"/>
        <v>1064 + This is a secret message</v>
      </c>
      <c r="E66" s="12" t="str" cm="1">
        <f t="array" ref="E66">macroCRDPProtect(A66,B66,D66,TRUE)</f>
        <v>2e17f46aea1f516f3ac4208b2e68bb7ff3fce25477fd2f582628113c7ee0219e</v>
      </c>
      <c r="F66" s="13" t="str" cm="1">
        <f t="array" ref="F66">macroCRDPProtect(A66,B66,D66,FALSE)</f>
        <v>1003000</v>
      </c>
    </row>
    <row r="67" spans="1:6" x14ac:dyDescent="0.25">
      <c r="A67" s="18" t="s">
        <v>121</v>
      </c>
      <c r="B67" s="9" t="s">
        <v>0</v>
      </c>
      <c r="C67" s="4">
        <f t="shared" si="5"/>
        <v>1065</v>
      </c>
      <c r="D67" s="27" t="str">
        <f t="shared" si="6"/>
        <v>1065 + This is a secret message</v>
      </c>
      <c r="E67" s="12" t="str" cm="1">
        <f t="array" ref="E67">macroCRDPProtect(A67,B67,D67,TRUE)</f>
        <v>353ccf9553462eefd0904bb7903ebe4cc3070e24310c9b620ea3c365f94b146f</v>
      </c>
      <c r="F67" s="13" t="str" cm="1">
        <f t="array" ref="F67">macroCRDPProtect(A67,B67,D67,FALSE)</f>
        <v>1003000</v>
      </c>
    </row>
    <row r="68" spans="1:6" x14ac:dyDescent="0.25">
      <c r="A68" s="18" t="s">
        <v>121</v>
      </c>
      <c r="B68" s="9" t="s">
        <v>0</v>
      </c>
      <c r="C68" s="4">
        <f t="shared" si="5"/>
        <v>1066</v>
      </c>
      <c r="D68" s="27" t="str">
        <f t="shared" ref="D68:D99" si="7">_xlfn.CONCAT(C68," + This is a secret message")</f>
        <v>1066 + This is a secret message</v>
      </c>
      <c r="E68" s="12" t="str" cm="1">
        <f t="array" ref="E68">macroCRDPProtect(A68,B68,D68,TRUE)</f>
        <v>cbc92828566d687294677f2eb61a3ca2888e2ff56d43d725447381fc477827a1</v>
      </c>
      <c r="F68" s="13" t="str" cm="1">
        <f t="array" ref="F68">macroCRDPProtect(A68,B68,D68,FALSE)</f>
        <v>1003000</v>
      </c>
    </row>
    <row r="69" spans="1:6" x14ac:dyDescent="0.25">
      <c r="A69" s="18" t="s">
        <v>121</v>
      </c>
      <c r="B69" s="9" t="s">
        <v>0</v>
      </c>
      <c r="C69" s="4">
        <f t="shared" si="5"/>
        <v>1067</v>
      </c>
      <c r="D69" s="27" t="str">
        <f t="shared" si="7"/>
        <v>1067 + This is a secret message</v>
      </c>
      <c r="E69" s="12" t="str" cm="1">
        <f t="array" ref="E69">macroCRDPProtect(A69,B69,D69,TRUE)</f>
        <v>0068d23a1cb25c56e030af25ec33f4de7ed97ae6a269bb1626f87fd22f1fc18c</v>
      </c>
      <c r="F69" s="13" t="str" cm="1">
        <f t="array" ref="F69">macroCRDPProtect(A69,B69,D69,FALSE)</f>
        <v>1003000</v>
      </c>
    </row>
    <row r="70" spans="1:6" x14ac:dyDescent="0.25">
      <c r="A70" s="18" t="s">
        <v>121</v>
      </c>
      <c r="B70" s="9" t="s">
        <v>0</v>
      </c>
      <c r="C70" s="4">
        <f t="shared" si="5"/>
        <v>1068</v>
      </c>
      <c r="D70" s="27" t="str">
        <f t="shared" si="7"/>
        <v>1068 + This is a secret message</v>
      </c>
      <c r="E70" s="12" t="str" cm="1">
        <f t="array" ref="E70">macroCRDPProtect(A70,B70,D70,TRUE)</f>
        <v>2b6e583350fcd7576db00bb73db46c4d4c00db64cd49065f535a3bbda5af6629</v>
      </c>
      <c r="F70" s="13" t="str" cm="1">
        <f t="array" ref="F70">macroCRDPProtect(A70,B70,D70,FALSE)</f>
        <v>1003000</v>
      </c>
    </row>
    <row r="71" spans="1:6" x14ac:dyDescent="0.25">
      <c r="A71" s="18" t="s">
        <v>121</v>
      </c>
      <c r="B71" s="9" t="s">
        <v>0</v>
      </c>
      <c r="C71" s="4">
        <f t="shared" si="5"/>
        <v>1069</v>
      </c>
      <c r="D71" s="27" t="str">
        <f t="shared" si="7"/>
        <v>1069 + This is a secret message</v>
      </c>
      <c r="E71" s="12" t="str" cm="1">
        <f t="array" ref="E71">macroCRDPProtect(A71,B71,D71,TRUE)</f>
        <v>a859e38a87dd18b3effffee9ee34662e41e093168a9ca9135deb6244b053529f</v>
      </c>
      <c r="F71" s="13" t="str" cm="1">
        <f t="array" ref="F71">macroCRDPProtect(A71,B71,D71,FALSE)</f>
        <v>1003000</v>
      </c>
    </row>
    <row r="72" spans="1:6" x14ac:dyDescent="0.25">
      <c r="A72" s="18" t="s">
        <v>121</v>
      </c>
      <c r="B72" s="9" t="s">
        <v>0</v>
      </c>
      <c r="C72" s="4">
        <f t="shared" si="5"/>
        <v>1070</v>
      </c>
      <c r="D72" s="27" t="str">
        <f t="shared" si="7"/>
        <v>1070 + This is a secret message</v>
      </c>
      <c r="E72" s="12" t="str" cm="1">
        <f t="array" ref="E72">macroCRDPProtect(A72,B72,D72,TRUE)</f>
        <v>925eb85fc193ce0ebc37791ed1e1700c2866de6569acbd1c34a19e9a0d2f7b64</v>
      </c>
      <c r="F72" s="13" t="str" cm="1">
        <f t="array" ref="F72">macroCRDPProtect(A72,B72,D72,FALSE)</f>
        <v>1003000</v>
      </c>
    </row>
    <row r="73" spans="1:6" x14ac:dyDescent="0.25">
      <c r="A73" s="18" t="s">
        <v>121</v>
      </c>
      <c r="B73" s="9" t="s">
        <v>0</v>
      </c>
      <c r="C73" s="4">
        <f t="shared" si="5"/>
        <v>1071</v>
      </c>
      <c r="D73" s="27" t="str">
        <f t="shared" si="7"/>
        <v>1071 + This is a secret message</v>
      </c>
      <c r="E73" s="12" t="str" cm="1">
        <f t="array" ref="E73">macroCRDPProtect(A73,B73,D73,TRUE)</f>
        <v>f8b3b5baca48ba53e082b55f8fd727f22d3a91dc990c0a2c3b2090739295f411</v>
      </c>
      <c r="F73" s="13" t="str" cm="1">
        <f t="array" ref="F73">macroCRDPProtect(A73,B73,D73,FALSE)</f>
        <v>1003000</v>
      </c>
    </row>
    <row r="74" spans="1:6" x14ac:dyDescent="0.25">
      <c r="A74" s="18" t="s">
        <v>121</v>
      </c>
      <c r="B74" s="9" t="s">
        <v>0</v>
      </c>
      <c r="C74" s="4">
        <f t="shared" si="5"/>
        <v>1072</v>
      </c>
      <c r="D74" s="27" t="str">
        <f t="shared" si="7"/>
        <v>1072 + This is a secret message</v>
      </c>
      <c r="E74" s="12" t="str" cm="1">
        <f t="array" ref="E74">macroCRDPProtect(A74,B74,D74,TRUE)</f>
        <v>1c76306d8b362a55b2e25708bd597ea0497a9ed2e4bf421dabfaf7526e23f2c5</v>
      </c>
      <c r="F74" s="13" t="str" cm="1">
        <f t="array" ref="F74">macroCRDPProtect(A74,B74,D74,FALSE)</f>
        <v>1003000</v>
      </c>
    </row>
    <row r="75" spans="1:6" x14ac:dyDescent="0.25">
      <c r="A75" s="18" t="s">
        <v>121</v>
      </c>
      <c r="B75" s="9" t="s">
        <v>0</v>
      </c>
      <c r="C75" s="4">
        <f t="shared" si="5"/>
        <v>1073</v>
      </c>
      <c r="D75" s="27" t="str">
        <f t="shared" si="7"/>
        <v>1073 + This is a secret message</v>
      </c>
      <c r="E75" s="12" t="str" cm="1">
        <f t="array" ref="E75">macroCRDPProtect(A75,B75,D75,TRUE)</f>
        <v>26cad2c1a8cbdde6a886e86f78bed660930b97fae384b4ea4fb24b6f4aae38ca</v>
      </c>
      <c r="F75" s="13" t="str" cm="1">
        <f t="array" ref="F75">macroCRDPProtect(A75,B75,D75,FALSE)</f>
        <v>1003000</v>
      </c>
    </row>
    <row r="76" spans="1:6" x14ac:dyDescent="0.25">
      <c r="A76" s="18" t="s">
        <v>121</v>
      </c>
      <c r="B76" s="9" t="s">
        <v>0</v>
      </c>
      <c r="C76" s="4">
        <f t="shared" si="5"/>
        <v>1074</v>
      </c>
      <c r="D76" s="27" t="str">
        <f t="shared" si="7"/>
        <v>1074 + This is a secret message</v>
      </c>
      <c r="E76" s="12" t="str" cm="1">
        <f t="array" ref="E76">macroCRDPProtect(A76,B76,D76,TRUE)</f>
        <v>8cf6ddb5409c3b1c5418576699f6904053fa040c2f5234e0c67544d800df51dd</v>
      </c>
      <c r="F76" s="13" t="str" cm="1">
        <f t="array" ref="F76">macroCRDPProtect(A76,B76,D76,FALSE)</f>
        <v>1003000</v>
      </c>
    </row>
    <row r="77" spans="1:6" x14ac:dyDescent="0.25">
      <c r="A77" s="18" t="s">
        <v>121</v>
      </c>
      <c r="B77" s="9" t="s">
        <v>0</v>
      </c>
      <c r="C77" s="4">
        <f t="shared" si="5"/>
        <v>1075</v>
      </c>
      <c r="D77" s="27" t="str">
        <f t="shared" si="7"/>
        <v>1075 + This is a secret message</v>
      </c>
      <c r="E77" s="12" t="str" cm="1">
        <f t="array" ref="E77">macroCRDPProtect(A77,B77,D77,TRUE)</f>
        <v>c1485ab61a14c8254a20165faa9ad9dd7a1c08ce20ffbac702b70e9070f9ece3</v>
      </c>
      <c r="F77" s="13" t="str" cm="1">
        <f t="array" ref="F77">macroCRDPProtect(A77,B77,D77,FALSE)</f>
        <v>1003000</v>
      </c>
    </row>
    <row r="78" spans="1:6" x14ac:dyDescent="0.25">
      <c r="A78" s="18" t="s">
        <v>121</v>
      </c>
      <c r="B78" s="9" t="s">
        <v>0</v>
      </c>
      <c r="C78" s="4">
        <f t="shared" si="5"/>
        <v>1076</v>
      </c>
      <c r="D78" s="27" t="str">
        <f t="shared" si="7"/>
        <v>1076 + This is a secret message</v>
      </c>
      <c r="E78" s="12" t="str" cm="1">
        <f t="array" ref="E78">macroCRDPProtect(A78,B78,D78,TRUE)</f>
        <v>282823a5488b7e9fb7a0852d585e29af9e36e22fd646c2b8597905de6fc52c1d</v>
      </c>
      <c r="F78" s="13" t="str" cm="1">
        <f t="array" ref="F78">macroCRDPProtect(A78,B78,D78,FALSE)</f>
        <v>1003000</v>
      </c>
    </row>
    <row r="79" spans="1:6" x14ac:dyDescent="0.25">
      <c r="A79" s="18" t="s">
        <v>121</v>
      </c>
      <c r="B79" s="9" t="s">
        <v>0</v>
      </c>
      <c r="C79" s="4">
        <f t="shared" si="5"/>
        <v>1077</v>
      </c>
      <c r="D79" s="27" t="str">
        <f t="shared" si="7"/>
        <v>1077 + This is a secret message</v>
      </c>
      <c r="E79" s="12" t="str" cm="1">
        <f t="array" ref="E79">macroCRDPProtect(A79,B79,D79,TRUE)</f>
        <v>ace2aa4cd96c43787531f7149c26341e9228644105aa816084896d410b518fc3</v>
      </c>
      <c r="F79" s="13" t="str" cm="1">
        <f t="array" ref="F79">macroCRDPProtect(A79,B79,D79,FALSE)</f>
        <v>1003000</v>
      </c>
    </row>
    <row r="80" spans="1:6" x14ac:dyDescent="0.25">
      <c r="A80" s="18" t="s">
        <v>121</v>
      </c>
      <c r="B80" s="9" t="s">
        <v>0</v>
      </c>
      <c r="C80" s="4">
        <f t="shared" ref="C80:C100" si="8">C79+1</f>
        <v>1078</v>
      </c>
      <c r="D80" s="27" t="str">
        <f t="shared" si="7"/>
        <v>1078 + This is a secret message</v>
      </c>
      <c r="E80" s="12" t="str" cm="1">
        <f t="array" ref="E80">macroCRDPProtect(A80,B80,D80,TRUE)</f>
        <v>828e663163c01eb29b3a0d9730c1b999b27c4f7a79c94ed97f12f6be058897ea</v>
      </c>
      <c r="F80" s="13" t="str" cm="1">
        <f t="array" ref="F80">macroCRDPProtect(A80,B80,D80,FALSE)</f>
        <v>1003000</v>
      </c>
    </row>
    <row r="81" spans="1:6" x14ac:dyDescent="0.25">
      <c r="A81" s="18" t="s">
        <v>121</v>
      </c>
      <c r="B81" s="9" t="s">
        <v>0</v>
      </c>
      <c r="C81" s="4">
        <f t="shared" si="8"/>
        <v>1079</v>
      </c>
      <c r="D81" s="27" t="str">
        <f t="shared" si="7"/>
        <v>1079 + This is a secret message</v>
      </c>
      <c r="E81" s="12" t="str" cm="1">
        <f t="array" ref="E81">macroCRDPProtect(A81,B81,D81,TRUE)</f>
        <v>14900d569cca20b8f16cbb11f743073d89ad7b1fc4712c9a30bebf48118215c9</v>
      </c>
      <c r="F81" s="13" t="str" cm="1">
        <f t="array" ref="F81">macroCRDPProtect(A81,B81,D81,FALSE)</f>
        <v>1003000</v>
      </c>
    </row>
    <row r="82" spans="1:6" x14ac:dyDescent="0.25">
      <c r="A82" s="18" t="s">
        <v>121</v>
      </c>
      <c r="B82" s="9" t="s">
        <v>0</v>
      </c>
      <c r="C82" s="4">
        <f t="shared" si="8"/>
        <v>1080</v>
      </c>
      <c r="D82" s="27" t="str">
        <f t="shared" si="7"/>
        <v>1080 + This is a secret message</v>
      </c>
      <c r="E82" s="12" t="str" cm="1">
        <f t="array" ref="E82">macroCRDPProtect(A82,B82,D82,TRUE)</f>
        <v>78a8667f471d15777b368431af1933a772256d000d31e5b9a44cdc8115ebda42</v>
      </c>
      <c r="F82" s="13" t="str" cm="1">
        <f t="array" ref="F82">macroCRDPProtect(A82,B82,D82,FALSE)</f>
        <v>1003000</v>
      </c>
    </row>
    <row r="83" spans="1:6" x14ac:dyDescent="0.25">
      <c r="A83" s="18" t="s">
        <v>121</v>
      </c>
      <c r="B83" s="9" t="s">
        <v>0</v>
      </c>
      <c r="C83" s="4">
        <f t="shared" si="8"/>
        <v>1081</v>
      </c>
      <c r="D83" s="27" t="str">
        <f t="shared" si="7"/>
        <v>1081 + This is a secret message</v>
      </c>
      <c r="E83" s="12" t="str" cm="1">
        <f t="array" ref="E83">macroCRDPProtect(A83,B83,D83,TRUE)</f>
        <v>0eee9973b3782fd8608521b73fe557a50049c4dc8903b7be4931867ead5a978a</v>
      </c>
      <c r="F83" s="13" t="str" cm="1">
        <f t="array" ref="F83">macroCRDPProtect(A83,B83,D83,FALSE)</f>
        <v>1003000</v>
      </c>
    </row>
    <row r="84" spans="1:6" x14ac:dyDescent="0.25">
      <c r="A84" s="18" t="s">
        <v>121</v>
      </c>
      <c r="B84" s="9" t="s">
        <v>0</v>
      </c>
      <c r="C84" s="4">
        <f t="shared" si="8"/>
        <v>1082</v>
      </c>
      <c r="D84" s="27" t="str">
        <f t="shared" si="7"/>
        <v>1082 + This is a secret message</v>
      </c>
      <c r="E84" s="12" t="str" cm="1">
        <f t="array" ref="E84">macroCRDPProtect(A84,B84,D84,TRUE)</f>
        <v>c887efe5dbd1bcd236e1af752d4f8950aaa4a27cbd82ce4e479071cc17065d0d</v>
      </c>
      <c r="F84" s="13" t="str" cm="1">
        <f t="array" ref="F84">macroCRDPProtect(A84,B84,D84,FALSE)</f>
        <v>1003000</v>
      </c>
    </row>
    <row r="85" spans="1:6" x14ac:dyDescent="0.25">
      <c r="A85" s="18" t="s">
        <v>121</v>
      </c>
      <c r="B85" s="9" t="s">
        <v>0</v>
      </c>
      <c r="C85" s="4">
        <f t="shared" si="8"/>
        <v>1083</v>
      </c>
      <c r="D85" s="27" t="str">
        <f t="shared" si="7"/>
        <v>1083 + This is a secret message</v>
      </c>
      <c r="E85" s="12" t="str" cm="1">
        <f t="array" ref="E85">macroCRDPProtect(A85,B85,D85,TRUE)</f>
        <v>5b535e8b577064ba6fe72cc2599891d49b2681e3fe6c9e9565ecd952f7125757</v>
      </c>
      <c r="F85" s="13" t="str" cm="1">
        <f t="array" ref="F85">macroCRDPProtect(A85,B85,D85,FALSE)</f>
        <v>1003000</v>
      </c>
    </row>
    <row r="86" spans="1:6" x14ac:dyDescent="0.25">
      <c r="A86" s="18" t="s">
        <v>121</v>
      </c>
      <c r="B86" s="9" t="s">
        <v>0</v>
      </c>
      <c r="C86" s="4">
        <f t="shared" si="8"/>
        <v>1084</v>
      </c>
      <c r="D86" s="27" t="str">
        <f t="shared" si="7"/>
        <v>1084 + This is a secret message</v>
      </c>
      <c r="E86" s="12" t="str" cm="1">
        <f t="array" ref="E86">macroCRDPProtect(A86,B86,D86,TRUE)</f>
        <v>2e5e2b3efa46e94bc29588c61ae8082dd556c8bd2de3e4bf284a5326a8fa134a</v>
      </c>
      <c r="F86" s="13" t="str" cm="1">
        <f t="array" ref="F86">macroCRDPProtect(A86,B86,D86,FALSE)</f>
        <v>1003000</v>
      </c>
    </row>
    <row r="87" spans="1:6" x14ac:dyDescent="0.25">
      <c r="A87" s="18" t="s">
        <v>121</v>
      </c>
      <c r="B87" s="9" t="s">
        <v>0</v>
      </c>
      <c r="C87" s="4">
        <f t="shared" si="8"/>
        <v>1085</v>
      </c>
      <c r="D87" s="27" t="str">
        <f t="shared" si="7"/>
        <v>1085 + This is a secret message</v>
      </c>
      <c r="E87" s="12" t="str" cm="1">
        <f t="array" ref="E87">macroCRDPProtect(A87,B87,D87,TRUE)</f>
        <v>9ab5063ad0456ee81f541e4a550127e69a57caa4f74d92b4f2cec6ae5ba43f7b</v>
      </c>
      <c r="F87" s="13" t="str" cm="1">
        <f t="array" ref="F87">macroCRDPProtect(A87,B87,D87,FALSE)</f>
        <v>1003000</v>
      </c>
    </row>
    <row r="88" spans="1:6" x14ac:dyDescent="0.25">
      <c r="A88" s="18" t="s">
        <v>121</v>
      </c>
      <c r="B88" s="9" t="s">
        <v>0</v>
      </c>
      <c r="C88" s="4">
        <f t="shared" si="8"/>
        <v>1086</v>
      </c>
      <c r="D88" s="27" t="str">
        <f t="shared" si="7"/>
        <v>1086 + This is a secret message</v>
      </c>
      <c r="E88" s="12" t="str" cm="1">
        <f t="array" ref="E88">macroCRDPProtect(A88,B88,D88,TRUE)</f>
        <v>26dd6317b3607783f3f8208327371d8f1f4d1a5d6963f31b6d928ffa6ae1c441</v>
      </c>
      <c r="F88" s="13" t="str" cm="1">
        <f t="array" ref="F88">macroCRDPProtect(A88,B88,D88,FALSE)</f>
        <v>1003000</v>
      </c>
    </row>
    <row r="89" spans="1:6" x14ac:dyDescent="0.25">
      <c r="A89" s="18" t="s">
        <v>121</v>
      </c>
      <c r="B89" s="9" t="s">
        <v>0</v>
      </c>
      <c r="C89" s="4">
        <f t="shared" si="8"/>
        <v>1087</v>
      </c>
      <c r="D89" s="27" t="str">
        <f t="shared" si="7"/>
        <v>1087 + This is a secret message</v>
      </c>
      <c r="E89" s="12" t="str" cm="1">
        <f t="array" ref="E89">macroCRDPProtect(A89,B89,D89,TRUE)</f>
        <v>7e8f919a2ba2a05e34452dd43f4e7bb7b108ebf018bb77701e2d6b69b07a3e40</v>
      </c>
      <c r="F89" s="13" t="str" cm="1">
        <f t="array" ref="F89">macroCRDPProtect(A89,B89,D89,FALSE)</f>
        <v>1003000</v>
      </c>
    </row>
    <row r="90" spans="1:6" x14ac:dyDescent="0.25">
      <c r="A90" s="18" t="s">
        <v>121</v>
      </c>
      <c r="B90" s="9" t="s">
        <v>0</v>
      </c>
      <c r="C90" s="4">
        <f t="shared" si="8"/>
        <v>1088</v>
      </c>
      <c r="D90" s="27" t="str">
        <f t="shared" si="7"/>
        <v>1088 + This is a secret message</v>
      </c>
      <c r="E90" s="12" t="str" cm="1">
        <f t="array" ref="E90">macroCRDPProtect(A90,B90,D90,TRUE)</f>
        <v>8a9f526e43374ad7fa8d8999374cb2bcb4697c663957ec00eb7c7f4ac93e29a2</v>
      </c>
      <c r="F90" s="13" t="str" cm="1">
        <f t="array" ref="F90">macroCRDPProtect(A90,B90,D90,FALSE)</f>
        <v>1003000</v>
      </c>
    </row>
    <row r="91" spans="1:6" x14ac:dyDescent="0.25">
      <c r="A91" s="18" t="s">
        <v>121</v>
      </c>
      <c r="B91" s="9" t="s">
        <v>0</v>
      </c>
      <c r="C91" s="4">
        <f t="shared" si="8"/>
        <v>1089</v>
      </c>
      <c r="D91" s="27" t="str">
        <f t="shared" si="7"/>
        <v>1089 + This is a secret message</v>
      </c>
      <c r="E91" s="12" t="str" cm="1">
        <f t="array" ref="E91">macroCRDPProtect(A91,B91,D91,TRUE)</f>
        <v>078190dffee28c884944cee1862c11a57e92f32bd1fba8d295038caf32456ec8</v>
      </c>
      <c r="F91" s="13" t="str" cm="1">
        <f t="array" ref="F91">macroCRDPProtect(A91,B91,D91,FALSE)</f>
        <v>1003000</v>
      </c>
    </row>
    <row r="92" spans="1:6" x14ac:dyDescent="0.25">
      <c r="A92" s="18" t="s">
        <v>121</v>
      </c>
      <c r="B92" s="9" t="s">
        <v>0</v>
      </c>
      <c r="C92" s="4">
        <f t="shared" si="8"/>
        <v>1090</v>
      </c>
      <c r="D92" s="27" t="str">
        <f t="shared" si="7"/>
        <v>1090 + This is a secret message</v>
      </c>
      <c r="E92" s="12" t="str" cm="1">
        <f t="array" ref="E92">macroCRDPProtect(A92,B92,D92,TRUE)</f>
        <v>e4fa838b1c6eb9d99c454647c73bd60b0aa047c8b6b7693e88ef82670a553bd9</v>
      </c>
      <c r="F92" s="13" t="str" cm="1">
        <f t="array" ref="F92">macroCRDPProtect(A92,B92,D92,FALSE)</f>
        <v>1003000</v>
      </c>
    </row>
    <row r="93" spans="1:6" x14ac:dyDescent="0.25">
      <c r="A93" s="18" t="s">
        <v>121</v>
      </c>
      <c r="B93" s="9" t="s">
        <v>0</v>
      </c>
      <c r="C93" s="4">
        <f t="shared" si="8"/>
        <v>1091</v>
      </c>
      <c r="D93" s="27" t="str">
        <f t="shared" si="7"/>
        <v>1091 + This is a secret message</v>
      </c>
      <c r="E93" s="12" t="str" cm="1">
        <f t="array" ref="E93">macroCRDPProtect(A93,B93,D93,TRUE)</f>
        <v>3703c75540b66d89b435b57d0f1e9a1bd664c1c8e0065646a697d12181be5a53</v>
      </c>
      <c r="F93" s="13" t="str" cm="1">
        <f t="array" ref="F93">macroCRDPProtect(A93,B93,D93,FALSE)</f>
        <v>1003000</v>
      </c>
    </row>
    <row r="94" spans="1:6" x14ac:dyDescent="0.25">
      <c r="A94" s="18" t="s">
        <v>121</v>
      </c>
      <c r="B94" s="9" t="s">
        <v>0</v>
      </c>
      <c r="C94" s="4">
        <f t="shared" si="8"/>
        <v>1092</v>
      </c>
      <c r="D94" s="27" t="str">
        <f t="shared" si="7"/>
        <v>1092 + This is a secret message</v>
      </c>
      <c r="E94" s="12" t="str" cm="1">
        <f t="array" ref="E94">macroCRDPProtect(A94,B94,D94,TRUE)</f>
        <v>6af03d8e43cb7fbb5a0e1c2b234463ef0861e789ce2c7f7b201638868d020f97</v>
      </c>
      <c r="F94" s="13" t="str" cm="1">
        <f t="array" ref="F94">macroCRDPProtect(A94,B94,D94,FALSE)</f>
        <v>1003000</v>
      </c>
    </row>
    <row r="95" spans="1:6" x14ac:dyDescent="0.25">
      <c r="A95" s="18" t="s">
        <v>121</v>
      </c>
      <c r="B95" s="9" t="s">
        <v>0</v>
      </c>
      <c r="C95" s="4">
        <f t="shared" si="8"/>
        <v>1093</v>
      </c>
      <c r="D95" s="27" t="str">
        <f t="shared" si="7"/>
        <v>1093 + This is a secret message</v>
      </c>
      <c r="E95" s="12" t="str" cm="1">
        <f t="array" ref="E95">macroCRDPProtect(A95,B95,D95,TRUE)</f>
        <v>b86a67118344207cfc55d9f4f299995f5924d1b5f3a6c03f9536e9cd010fd4e9</v>
      </c>
      <c r="F95" s="13" t="str" cm="1">
        <f t="array" ref="F95">macroCRDPProtect(A95,B95,D95,FALSE)</f>
        <v>1003000</v>
      </c>
    </row>
    <row r="96" spans="1:6" x14ac:dyDescent="0.25">
      <c r="A96" s="18" t="s">
        <v>121</v>
      </c>
      <c r="B96" s="9" t="s">
        <v>0</v>
      </c>
      <c r="C96" s="4">
        <f t="shared" si="8"/>
        <v>1094</v>
      </c>
      <c r="D96" s="27" t="str">
        <f t="shared" si="7"/>
        <v>1094 + This is a secret message</v>
      </c>
      <c r="E96" s="12" t="str" cm="1">
        <f t="array" ref="E96">macroCRDPProtect(A96,B96,D96,TRUE)</f>
        <v>8a7843ecf9de0dbed08cf171905320b2c9011985fdbafe96bc159d53c9ce8440</v>
      </c>
      <c r="F96" s="13" t="str" cm="1">
        <f t="array" ref="F96">macroCRDPProtect(A96,B96,D96,FALSE)</f>
        <v>1003000</v>
      </c>
    </row>
    <row r="97" spans="1:6" x14ac:dyDescent="0.25">
      <c r="A97" s="18" t="s">
        <v>121</v>
      </c>
      <c r="B97" s="9" t="s">
        <v>0</v>
      </c>
      <c r="C97" s="4">
        <f t="shared" si="8"/>
        <v>1095</v>
      </c>
      <c r="D97" s="27" t="str">
        <f t="shared" si="7"/>
        <v>1095 + This is a secret message</v>
      </c>
      <c r="E97" s="12" t="str" cm="1">
        <f t="array" ref="E97">macroCRDPProtect(A97,B97,D97,TRUE)</f>
        <v>28b3129af8d18a3f10a518b89ece0debef551b76eca7e9660785df55ade2644d</v>
      </c>
      <c r="F97" s="13" t="str" cm="1">
        <f t="array" ref="F97">macroCRDPProtect(A97,B97,D97,FALSE)</f>
        <v>1003000</v>
      </c>
    </row>
    <row r="98" spans="1:6" x14ac:dyDescent="0.25">
      <c r="A98" s="18" t="s">
        <v>121</v>
      </c>
      <c r="B98" s="9" t="s">
        <v>0</v>
      </c>
      <c r="C98" s="4">
        <f t="shared" si="8"/>
        <v>1096</v>
      </c>
      <c r="D98" s="27" t="str">
        <f t="shared" si="7"/>
        <v>1096 + This is a secret message</v>
      </c>
      <c r="E98" s="12" t="str" cm="1">
        <f t="array" ref="E98">macroCRDPProtect(A98,B98,D98,TRUE)</f>
        <v>802e5e07c0e9627bcf65b5f01d5a8e5ae62e5740fbc4dd218630af2657c61f93</v>
      </c>
      <c r="F98" s="13" t="str" cm="1">
        <f t="array" ref="F98">macroCRDPProtect(A98,B98,D98,FALSE)</f>
        <v>1003000</v>
      </c>
    </row>
    <row r="99" spans="1:6" x14ac:dyDescent="0.25">
      <c r="A99" s="18" t="s">
        <v>121</v>
      </c>
      <c r="B99" s="9" t="s">
        <v>0</v>
      </c>
      <c r="C99" s="4">
        <f t="shared" si="8"/>
        <v>1097</v>
      </c>
      <c r="D99" s="27" t="str">
        <f t="shared" si="7"/>
        <v>1097 + This is a secret message</v>
      </c>
      <c r="E99" s="12" t="str" cm="1">
        <f t="array" ref="E99">macroCRDPProtect(A99,B99,D99,TRUE)</f>
        <v>ebb52b613dd62e7fd669c26c03eb08e6d253b5e9e3b1e781419b6ea137614fe9</v>
      </c>
      <c r="F99" s="13" t="str" cm="1">
        <f t="array" ref="F99">macroCRDPProtect(A99,B99,D99,FALSE)</f>
        <v>1003000</v>
      </c>
    </row>
    <row r="100" spans="1:6" x14ac:dyDescent="0.25">
      <c r="A100" s="18" t="s">
        <v>121</v>
      </c>
      <c r="B100" s="9" t="s">
        <v>0</v>
      </c>
      <c r="C100" s="4">
        <f t="shared" si="8"/>
        <v>1098</v>
      </c>
      <c r="D100" s="27" t="str">
        <f t="shared" ref="D100" si="9">_xlfn.CONCAT(C100," + This is a secret message")</f>
        <v>1098 + This is a secret message</v>
      </c>
      <c r="E100" s="12" t="str" cm="1">
        <f t="array" ref="E100">macroCRDPProtect(A100,B100,D100,TRUE)</f>
        <v>9c2b661ea61a0747cc7f2ed85536610f1282f60ec24130ae11c6d137e5d27a89</v>
      </c>
      <c r="F100" s="13" t="str" cm="1">
        <f t="array" ref="F100">macroCRDPProtect(A100,B100,D100,FALSE)</f>
        <v>1003000</v>
      </c>
    </row>
  </sheetData>
  <pageMargins left="0.7" right="0.7" top="0.75" bottom="0.75" header="0.3" footer="0.3"/>
  <pageSetup orientation="portrait" r:id="rId1"/>
  <headerFooter>
    <oddFooter>&amp;C&amp;1#&amp;"Calibri"&amp;10&amp;K008000THALES GROUP LIMITED DISTRIBUTION - SCOPE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27E802C-C495-44C7-BABB-135EEC996B21}">
          <x14:formula1>
            <xm:f>Policies!$A$2:$A$3</xm:f>
          </x14:formula1>
          <xm:sqref>B2:B100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BC286-86EE-44C8-AE92-0CAB85E8FD61}">
  <sheetPr codeName="Sheet2"/>
  <dimension ref="A1:G100"/>
  <sheetViews>
    <sheetView zoomScaleNormal="100" workbookViewId="0">
      <selection activeCell="A13" sqref="A13"/>
    </sheetView>
  </sheetViews>
  <sheetFormatPr defaultRowHeight="15" x14ac:dyDescent="0.25"/>
  <cols>
    <col min="1" max="1" width="49.5703125" style="19" customWidth="1"/>
    <col min="2" max="2" width="28.140625" style="9" customWidth="1"/>
    <col min="3" max="3" width="70.28515625" style="14" customWidth="1"/>
    <col min="4" max="4" width="19.42578125" style="15" customWidth="1"/>
    <col min="5" max="5" width="4" style="8" customWidth="1"/>
    <col min="6" max="6" width="9.140625" style="21" customWidth="1"/>
    <col min="7" max="7" width="46.28515625" style="16" customWidth="1"/>
    <col min="8" max="16384" width="9.140625" style="3"/>
  </cols>
  <sheetData>
    <row r="1" spans="1:7" s="17" customFormat="1" x14ac:dyDescent="0.25">
      <c r="A1" s="20" t="s">
        <v>4</v>
      </c>
      <c r="B1" s="10" t="s">
        <v>7</v>
      </c>
      <c r="C1" s="2" t="s">
        <v>8</v>
      </c>
      <c r="D1" s="6" t="s">
        <v>5</v>
      </c>
      <c r="E1" s="7"/>
      <c r="F1" s="22" t="s">
        <v>6</v>
      </c>
      <c r="G1" s="11" t="s">
        <v>9</v>
      </c>
    </row>
    <row r="2" spans="1:7" x14ac:dyDescent="0.25">
      <c r="A2" s="18" t="s">
        <v>122</v>
      </c>
      <c r="B2" s="9" t="s">
        <v>114</v>
      </c>
      <c r="C2" s="23" t="s">
        <v>115</v>
      </c>
      <c r="D2" s="24" t="s">
        <v>116</v>
      </c>
      <c r="F2" s="21" t="s">
        <v>119</v>
      </c>
      <c r="G2" s="16" t="str" cm="1">
        <f t="array" ref="G2">macroCRDPReveal(A2,B2,F2,C2,D2)</f>
        <v>DENIED (CRDP)</v>
      </c>
    </row>
    <row r="3" spans="1:7" x14ac:dyDescent="0.25">
      <c r="A3" s="18" t="s">
        <v>122</v>
      </c>
      <c r="B3" s="9" t="s">
        <v>114</v>
      </c>
      <c r="C3" s="23" t="s">
        <v>117</v>
      </c>
      <c r="D3" s="24" t="s">
        <v>116</v>
      </c>
      <c r="F3" s="21" t="s">
        <v>119</v>
      </c>
      <c r="G3" s="16" t="str" cm="1">
        <f t="array" ref="G3">macroCRDPReveal(A3,B3,F3,C3,D3)</f>
        <v>DENIED (CRDP)</v>
      </c>
    </row>
    <row r="4" spans="1:7" x14ac:dyDescent="0.25">
      <c r="A4" s="18" t="s">
        <v>122</v>
      </c>
      <c r="B4" s="9" t="s">
        <v>0</v>
      </c>
      <c r="C4" s="23" t="s">
        <v>14</v>
      </c>
      <c r="D4" s="24" t="s">
        <v>13</v>
      </c>
      <c r="F4" s="21" t="s">
        <v>119</v>
      </c>
      <c r="G4" s="16" t="str" cm="1">
        <f t="array" ref="G4">macroCRDPReveal(A4,B4,F4,C4,D4)</f>
        <v>DENIED (CRDP)</v>
      </c>
    </row>
    <row r="5" spans="1:7" x14ac:dyDescent="0.25">
      <c r="A5" s="18" t="s">
        <v>122</v>
      </c>
      <c r="B5" s="9" t="s">
        <v>0</v>
      </c>
      <c r="C5" s="23" t="s">
        <v>15</v>
      </c>
      <c r="D5" s="24" t="s">
        <v>13</v>
      </c>
      <c r="F5" s="21" t="s">
        <v>119</v>
      </c>
      <c r="G5" s="16" t="str" cm="1">
        <f t="array" ref="G5">macroCRDPReveal(A5,B5,F5,C5,D5)</f>
        <v>DENIED (CRDP)</v>
      </c>
    </row>
    <row r="6" spans="1:7" x14ac:dyDescent="0.25">
      <c r="A6" s="18" t="s">
        <v>122</v>
      </c>
      <c r="B6" s="9" t="s">
        <v>0</v>
      </c>
      <c r="C6" s="23" t="s">
        <v>16</v>
      </c>
      <c r="D6" s="24" t="s">
        <v>13</v>
      </c>
      <c r="F6" s="21" t="s">
        <v>119</v>
      </c>
      <c r="G6" s="16" t="str" cm="1">
        <f t="array" ref="G6">macroCRDPReveal(A6,B6,F6,C6,D6)</f>
        <v>DENIED (CRDP)</v>
      </c>
    </row>
    <row r="7" spans="1:7" x14ac:dyDescent="0.25">
      <c r="A7" s="18" t="s">
        <v>122</v>
      </c>
      <c r="B7" s="9" t="s">
        <v>0</v>
      </c>
      <c r="C7" s="23" t="s">
        <v>17</v>
      </c>
      <c r="D7" s="24" t="s">
        <v>13</v>
      </c>
      <c r="F7" s="21" t="s">
        <v>119</v>
      </c>
      <c r="G7" s="16" t="str" cm="1">
        <f t="array" ref="G7">macroCRDPReveal(A7,B7,F7,C7,D7)</f>
        <v>DENIED (CRDP)</v>
      </c>
    </row>
    <row r="8" spans="1:7" x14ac:dyDescent="0.25">
      <c r="A8" s="18" t="s">
        <v>122</v>
      </c>
      <c r="B8" s="9" t="s">
        <v>0</v>
      </c>
      <c r="C8" s="23" t="s">
        <v>18</v>
      </c>
      <c r="D8" s="24" t="s">
        <v>13</v>
      </c>
      <c r="F8" s="21" t="s">
        <v>119</v>
      </c>
      <c r="G8" s="16" t="str" cm="1">
        <f t="array" ref="G8">macroCRDPReveal(A8,B8,F8,C8,D8)</f>
        <v>DENIED (CRDP)</v>
      </c>
    </row>
    <row r="9" spans="1:7" x14ac:dyDescent="0.25">
      <c r="A9" s="18" t="s">
        <v>122</v>
      </c>
      <c r="B9" s="9" t="s">
        <v>0</v>
      </c>
      <c r="C9" s="23" t="s">
        <v>19</v>
      </c>
      <c r="D9" s="24" t="s">
        <v>13</v>
      </c>
      <c r="F9" s="21" t="s">
        <v>119</v>
      </c>
      <c r="G9" s="16" t="str" cm="1">
        <f t="array" ref="G9">macroCRDPReveal(A9,B9,F9,C9,D9)</f>
        <v>DENIED (CRDP)</v>
      </c>
    </row>
    <row r="10" spans="1:7" x14ac:dyDescent="0.25">
      <c r="A10" s="18" t="s">
        <v>122</v>
      </c>
      <c r="B10" s="9" t="s">
        <v>0</v>
      </c>
      <c r="C10" s="23" t="s">
        <v>20</v>
      </c>
      <c r="D10" s="24" t="s">
        <v>13</v>
      </c>
      <c r="F10" s="21" t="s">
        <v>119</v>
      </c>
      <c r="G10" s="16" t="str" cm="1">
        <f t="array" ref="G10">macroCRDPReveal(A10,B10,F10,C10,D10)</f>
        <v>DENIED (CRDP)</v>
      </c>
    </row>
    <row r="11" spans="1:7" x14ac:dyDescent="0.25">
      <c r="A11" s="18" t="s">
        <v>122</v>
      </c>
      <c r="B11" s="9" t="s">
        <v>0</v>
      </c>
      <c r="C11" s="23" t="s">
        <v>21</v>
      </c>
      <c r="D11" s="24" t="s">
        <v>13</v>
      </c>
      <c r="F11" s="21" t="s">
        <v>119</v>
      </c>
      <c r="G11" s="16" t="str" cm="1">
        <f t="array" ref="G11">macroCRDPReveal(A11,B11,F11,C11,D11)</f>
        <v>DENIED (CRDP)</v>
      </c>
    </row>
    <row r="12" spans="1:7" x14ac:dyDescent="0.25">
      <c r="A12" s="18" t="s">
        <v>122</v>
      </c>
      <c r="B12" s="9" t="s">
        <v>0</v>
      </c>
      <c r="C12" s="23" t="s">
        <v>22</v>
      </c>
      <c r="D12" s="24" t="s">
        <v>13</v>
      </c>
      <c r="F12" s="21" t="s">
        <v>119</v>
      </c>
      <c r="G12" s="16" t="str" cm="1">
        <f t="array" ref="G12">macroCRDPReveal(A12,B12,F12,C12,D12)</f>
        <v>DENIED (CRDP)</v>
      </c>
    </row>
    <row r="13" spans="1:7" x14ac:dyDescent="0.25">
      <c r="A13" s="18" t="s">
        <v>122</v>
      </c>
      <c r="B13" s="9" t="s">
        <v>0</v>
      </c>
      <c r="C13" s="23" t="s">
        <v>23</v>
      </c>
      <c r="D13" s="24" t="s">
        <v>13</v>
      </c>
      <c r="F13" s="21" t="s">
        <v>119</v>
      </c>
      <c r="G13" s="16" t="str" cm="1">
        <f t="array" ref="G13">macroCRDPReveal(A13,B13,F13,C13,D13)</f>
        <v>DENIED (CRDP)</v>
      </c>
    </row>
    <row r="14" spans="1:7" x14ac:dyDescent="0.25">
      <c r="A14" s="18" t="s">
        <v>122</v>
      </c>
      <c r="B14" s="9" t="s">
        <v>0</v>
      </c>
      <c r="C14" s="23" t="s">
        <v>24</v>
      </c>
      <c r="D14" s="24" t="s">
        <v>13</v>
      </c>
      <c r="F14" s="21" t="s">
        <v>119</v>
      </c>
      <c r="G14" s="16" t="str" cm="1">
        <f t="array" ref="G14">macroCRDPReveal(A14,B14,F14,C14,D14)</f>
        <v>DENIED (CRDP)</v>
      </c>
    </row>
    <row r="15" spans="1:7" x14ac:dyDescent="0.25">
      <c r="A15" s="18" t="s">
        <v>122</v>
      </c>
      <c r="B15" s="9" t="s">
        <v>0</v>
      </c>
      <c r="C15" s="23" t="s">
        <v>25</v>
      </c>
      <c r="D15" s="24" t="s">
        <v>13</v>
      </c>
      <c r="F15" s="21" t="s">
        <v>119</v>
      </c>
      <c r="G15" s="16" t="str" cm="1">
        <f t="array" ref="G15">macroCRDPReveal(A15,B15,F15,C15,D15)</f>
        <v>DENIED (CRDP)</v>
      </c>
    </row>
    <row r="16" spans="1:7" x14ac:dyDescent="0.25">
      <c r="A16" s="18" t="s">
        <v>122</v>
      </c>
      <c r="B16" s="9" t="s">
        <v>0</v>
      </c>
      <c r="C16" s="23" t="s">
        <v>26</v>
      </c>
      <c r="D16" s="24" t="s">
        <v>13</v>
      </c>
      <c r="F16" s="21" t="s">
        <v>119</v>
      </c>
      <c r="G16" s="16" t="str" cm="1">
        <f t="array" ref="G16">macroCRDPReveal(A16,B16,F16,C16,D16)</f>
        <v>DENIED (CRDP)</v>
      </c>
    </row>
    <row r="17" spans="1:7" x14ac:dyDescent="0.25">
      <c r="A17" s="18" t="s">
        <v>122</v>
      </c>
      <c r="B17" s="9" t="s">
        <v>0</v>
      </c>
      <c r="C17" s="23" t="s">
        <v>27</v>
      </c>
      <c r="D17" s="24" t="s">
        <v>13</v>
      </c>
      <c r="F17" s="21" t="s">
        <v>119</v>
      </c>
      <c r="G17" s="16" t="str" cm="1">
        <f t="array" ref="G17">macroCRDPReveal(A17,B17,F17,C17,D17)</f>
        <v>DENIED (CRDP)</v>
      </c>
    </row>
    <row r="18" spans="1:7" x14ac:dyDescent="0.25">
      <c r="A18" s="18" t="s">
        <v>122</v>
      </c>
      <c r="B18" s="9" t="s">
        <v>0</v>
      </c>
      <c r="C18" s="23" t="s">
        <v>28</v>
      </c>
      <c r="D18" s="24" t="s">
        <v>13</v>
      </c>
      <c r="F18" s="21" t="s">
        <v>119</v>
      </c>
      <c r="G18" s="16" t="str" cm="1">
        <f t="array" ref="G18">macroCRDPReveal(A18,B18,F18,C18,D18)</f>
        <v>DENIED (CRDP)</v>
      </c>
    </row>
    <row r="19" spans="1:7" x14ac:dyDescent="0.25">
      <c r="A19" s="18" t="s">
        <v>122</v>
      </c>
      <c r="B19" s="9" t="s">
        <v>0</v>
      </c>
      <c r="C19" s="23" t="s">
        <v>29</v>
      </c>
      <c r="D19" s="24" t="s">
        <v>13</v>
      </c>
      <c r="F19" s="21" t="s">
        <v>119</v>
      </c>
      <c r="G19" s="16" t="str" cm="1">
        <f t="array" ref="G19">macroCRDPReveal(A19,B19,F19,C19,D19)</f>
        <v>DENIED (CRDP)</v>
      </c>
    </row>
    <row r="20" spans="1:7" x14ac:dyDescent="0.25">
      <c r="A20" s="18" t="s">
        <v>122</v>
      </c>
      <c r="B20" s="9" t="s">
        <v>0</v>
      </c>
      <c r="C20" s="23" t="s">
        <v>30</v>
      </c>
      <c r="D20" s="24" t="s">
        <v>13</v>
      </c>
      <c r="F20" s="21" t="s">
        <v>119</v>
      </c>
      <c r="G20" s="16" t="str" cm="1">
        <f t="array" ref="G20">macroCRDPReveal(A20,B20,F20,C20,D20)</f>
        <v>DENIED (CRDP)</v>
      </c>
    </row>
    <row r="21" spans="1:7" x14ac:dyDescent="0.25">
      <c r="A21" s="18" t="s">
        <v>122</v>
      </c>
      <c r="B21" s="9" t="s">
        <v>0</v>
      </c>
      <c r="C21" s="23" t="s">
        <v>31</v>
      </c>
      <c r="D21" s="24" t="s">
        <v>13</v>
      </c>
      <c r="F21" s="21" t="s">
        <v>119</v>
      </c>
      <c r="G21" s="16" t="str" cm="1">
        <f t="array" ref="G21">macroCRDPReveal(A21,B21,F21,C21,D21)</f>
        <v>DENIED (CRDP)</v>
      </c>
    </row>
    <row r="22" spans="1:7" x14ac:dyDescent="0.25">
      <c r="A22" s="18" t="s">
        <v>122</v>
      </c>
      <c r="B22" s="9" t="s">
        <v>0</v>
      </c>
      <c r="C22" s="23" t="s">
        <v>32</v>
      </c>
      <c r="D22" s="24" t="s">
        <v>13</v>
      </c>
      <c r="F22" s="21" t="s">
        <v>119</v>
      </c>
      <c r="G22" s="16" t="str" cm="1">
        <f t="array" ref="G22">macroCRDPReveal(A22,B22,F22,C22,D22)</f>
        <v>DENIED (CRDP)</v>
      </c>
    </row>
    <row r="23" spans="1:7" x14ac:dyDescent="0.25">
      <c r="A23" s="18" t="s">
        <v>122</v>
      </c>
      <c r="B23" s="9" t="s">
        <v>0</v>
      </c>
      <c r="C23" s="23" t="s">
        <v>33</v>
      </c>
      <c r="D23" s="24" t="s">
        <v>13</v>
      </c>
      <c r="F23" s="21" t="s">
        <v>119</v>
      </c>
      <c r="G23" s="16" t="str" cm="1">
        <f t="array" ref="G23">macroCRDPReveal(A23,B23,F23,C23,D23)</f>
        <v>DENIED (CRDP)</v>
      </c>
    </row>
    <row r="24" spans="1:7" x14ac:dyDescent="0.25">
      <c r="A24" s="18" t="s">
        <v>122</v>
      </c>
      <c r="B24" s="9" t="s">
        <v>0</v>
      </c>
      <c r="C24" s="23" t="s">
        <v>34</v>
      </c>
      <c r="D24" s="24" t="s">
        <v>13</v>
      </c>
      <c r="F24" s="21" t="s">
        <v>119</v>
      </c>
      <c r="G24" s="16" t="str" cm="1">
        <f t="array" ref="G24">macroCRDPReveal(A24,B24,F24,C24,D24)</f>
        <v>DENIED (CRDP)</v>
      </c>
    </row>
    <row r="25" spans="1:7" x14ac:dyDescent="0.25">
      <c r="A25" s="18" t="s">
        <v>122</v>
      </c>
      <c r="B25" s="9" t="s">
        <v>0</v>
      </c>
      <c r="C25" s="23" t="s">
        <v>35</v>
      </c>
      <c r="D25" s="24" t="s">
        <v>13</v>
      </c>
      <c r="F25" s="21" t="s">
        <v>119</v>
      </c>
      <c r="G25" s="16" t="str" cm="1">
        <f t="array" ref="G25">macroCRDPReveal(A25,B25,F25,C25,D25)</f>
        <v>DENIED (CRDP)</v>
      </c>
    </row>
    <row r="26" spans="1:7" x14ac:dyDescent="0.25">
      <c r="A26" s="18" t="s">
        <v>122</v>
      </c>
      <c r="B26" s="9" t="s">
        <v>0</v>
      </c>
      <c r="C26" s="23" t="s">
        <v>36</v>
      </c>
      <c r="D26" s="24" t="s">
        <v>13</v>
      </c>
      <c r="F26" s="21" t="s">
        <v>119</v>
      </c>
      <c r="G26" s="16" t="str" cm="1">
        <f t="array" ref="G26">macroCRDPReveal(A26,B26,F26,C26,D26)</f>
        <v>DENIED (CRDP)</v>
      </c>
    </row>
    <row r="27" spans="1:7" x14ac:dyDescent="0.25">
      <c r="A27" s="18" t="s">
        <v>122</v>
      </c>
      <c r="B27" s="9" t="s">
        <v>0</v>
      </c>
      <c r="C27" s="23" t="s">
        <v>37</v>
      </c>
      <c r="D27" s="24" t="s">
        <v>13</v>
      </c>
      <c r="F27" s="21" t="s">
        <v>119</v>
      </c>
      <c r="G27" s="16" t="str" cm="1">
        <f t="array" ref="G27">macroCRDPReveal(A27,B27,F27,C27,D27)</f>
        <v>DENIED (CRDP)</v>
      </c>
    </row>
    <row r="28" spans="1:7" x14ac:dyDescent="0.25">
      <c r="A28" s="18" t="s">
        <v>122</v>
      </c>
      <c r="B28" s="9" t="s">
        <v>0</v>
      </c>
      <c r="C28" s="23" t="s">
        <v>38</v>
      </c>
      <c r="D28" s="24" t="s">
        <v>13</v>
      </c>
      <c r="F28" s="21" t="s">
        <v>119</v>
      </c>
      <c r="G28" s="16" t="str" cm="1">
        <f t="array" ref="G28">macroCRDPReveal(A28,B28,F28,C28,D28)</f>
        <v>DENIED (CRDP)</v>
      </c>
    </row>
    <row r="29" spans="1:7" x14ac:dyDescent="0.25">
      <c r="A29" s="18" t="s">
        <v>122</v>
      </c>
      <c r="B29" s="9" t="s">
        <v>0</v>
      </c>
      <c r="C29" s="23" t="s">
        <v>39</v>
      </c>
      <c r="D29" s="24" t="s">
        <v>13</v>
      </c>
      <c r="F29" s="21" t="s">
        <v>119</v>
      </c>
      <c r="G29" s="16" t="str" cm="1">
        <f t="array" ref="G29">macroCRDPReveal(A29,B29,F29,C29,D29)</f>
        <v>DENIED (CRDP)</v>
      </c>
    </row>
    <row r="30" spans="1:7" x14ac:dyDescent="0.25">
      <c r="A30" s="18" t="s">
        <v>122</v>
      </c>
      <c r="B30" s="9" t="s">
        <v>0</v>
      </c>
      <c r="C30" s="23" t="s">
        <v>40</v>
      </c>
      <c r="D30" s="24" t="s">
        <v>13</v>
      </c>
      <c r="F30" s="21" t="s">
        <v>119</v>
      </c>
      <c r="G30" s="16" t="str" cm="1">
        <f t="array" ref="G30">macroCRDPReveal(A30,B30,F30,C30,D30)</f>
        <v>DENIED (CRDP)</v>
      </c>
    </row>
    <row r="31" spans="1:7" x14ac:dyDescent="0.25">
      <c r="A31" s="18" t="s">
        <v>122</v>
      </c>
      <c r="B31" s="9" t="s">
        <v>0</v>
      </c>
      <c r="C31" s="23" t="s">
        <v>41</v>
      </c>
      <c r="D31" s="24" t="s">
        <v>13</v>
      </c>
      <c r="F31" s="21" t="s">
        <v>119</v>
      </c>
      <c r="G31" s="16" t="str" cm="1">
        <f t="array" ref="G31">macroCRDPReveal(A31,B31,F31,C31,D31)</f>
        <v>DENIED (CRDP)</v>
      </c>
    </row>
    <row r="32" spans="1:7" x14ac:dyDescent="0.25">
      <c r="A32" s="18" t="s">
        <v>122</v>
      </c>
      <c r="B32" s="9" t="s">
        <v>0</v>
      </c>
      <c r="C32" s="23" t="s">
        <v>42</v>
      </c>
      <c r="D32" s="24" t="s">
        <v>13</v>
      </c>
      <c r="F32" s="21" t="s">
        <v>119</v>
      </c>
      <c r="G32" s="16" t="str" cm="1">
        <f t="array" ref="G32">macroCRDPReveal(A32,B32,F32,C32,D32)</f>
        <v>DENIED (CRDP)</v>
      </c>
    </row>
    <row r="33" spans="1:7" x14ac:dyDescent="0.25">
      <c r="A33" s="18" t="s">
        <v>122</v>
      </c>
      <c r="B33" s="9" t="s">
        <v>0</v>
      </c>
      <c r="C33" s="23" t="s">
        <v>43</v>
      </c>
      <c r="D33" s="24" t="s">
        <v>13</v>
      </c>
      <c r="F33" s="21" t="s">
        <v>119</v>
      </c>
      <c r="G33" s="16" t="str" cm="1">
        <f t="array" ref="G33">macroCRDPReveal(A33,B33,F33,C33,D33)</f>
        <v>DENIED (CRDP)</v>
      </c>
    </row>
    <row r="34" spans="1:7" x14ac:dyDescent="0.25">
      <c r="A34" s="18" t="s">
        <v>122</v>
      </c>
      <c r="B34" s="9" t="s">
        <v>0</v>
      </c>
      <c r="C34" s="23" t="s">
        <v>44</v>
      </c>
      <c r="D34" s="24" t="s">
        <v>13</v>
      </c>
      <c r="F34" s="21" t="s">
        <v>119</v>
      </c>
      <c r="G34" s="16" t="str" cm="1">
        <f t="array" ref="G34">macroCRDPReveal(A34,B34,F34,C34,D34)</f>
        <v>DENIED (CRDP)</v>
      </c>
    </row>
    <row r="35" spans="1:7" x14ac:dyDescent="0.25">
      <c r="A35" s="18" t="s">
        <v>122</v>
      </c>
      <c r="B35" s="9" t="s">
        <v>0</v>
      </c>
      <c r="C35" s="23" t="s">
        <v>45</v>
      </c>
      <c r="D35" s="24" t="s">
        <v>13</v>
      </c>
      <c r="F35" s="21" t="s">
        <v>119</v>
      </c>
      <c r="G35" s="16" t="str" cm="1">
        <f t="array" ref="G35">macroCRDPReveal(A35,B35,F35,C35,D35)</f>
        <v>DENIED (CRDP)</v>
      </c>
    </row>
    <row r="36" spans="1:7" x14ac:dyDescent="0.25">
      <c r="A36" s="18" t="s">
        <v>122</v>
      </c>
      <c r="B36" s="9" t="s">
        <v>0</v>
      </c>
      <c r="C36" s="23" t="s">
        <v>46</v>
      </c>
      <c r="D36" s="24" t="s">
        <v>13</v>
      </c>
      <c r="F36" s="21" t="s">
        <v>119</v>
      </c>
      <c r="G36" s="16" t="str" cm="1">
        <f t="array" ref="G36">macroCRDPReveal(A36,B36,F36,C36,D36)</f>
        <v>DENIED (CRDP)</v>
      </c>
    </row>
    <row r="37" spans="1:7" x14ac:dyDescent="0.25">
      <c r="A37" s="18" t="s">
        <v>122</v>
      </c>
      <c r="B37" s="9" t="s">
        <v>0</v>
      </c>
      <c r="C37" s="23" t="s">
        <v>47</v>
      </c>
      <c r="D37" s="24" t="s">
        <v>13</v>
      </c>
      <c r="F37" s="21" t="s">
        <v>119</v>
      </c>
      <c r="G37" s="16" t="str" cm="1">
        <f t="array" ref="G37">macroCRDPReveal(A37,B37,F37,C37,D37)</f>
        <v>DENIED (CRDP)</v>
      </c>
    </row>
    <row r="38" spans="1:7" x14ac:dyDescent="0.25">
      <c r="A38" s="18" t="s">
        <v>122</v>
      </c>
      <c r="B38" s="9" t="s">
        <v>0</v>
      </c>
      <c r="C38" s="23" t="s">
        <v>48</v>
      </c>
      <c r="D38" s="24" t="s">
        <v>13</v>
      </c>
      <c r="F38" s="21" t="s">
        <v>119</v>
      </c>
      <c r="G38" s="16" t="str" cm="1">
        <f t="array" ref="G38">macroCRDPReveal(A38,B38,F38,C38,D38)</f>
        <v>DENIED (CRDP)</v>
      </c>
    </row>
    <row r="39" spans="1:7" x14ac:dyDescent="0.25">
      <c r="A39" s="18" t="s">
        <v>122</v>
      </c>
      <c r="B39" s="9" t="s">
        <v>0</v>
      </c>
      <c r="C39" s="23" t="s">
        <v>49</v>
      </c>
      <c r="D39" s="24" t="s">
        <v>13</v>
      </c>
      <c r="F39" s="21" t="s">
        <v>119</v>
      </c>
      <c r="G39" s="16" t="str" cm="1">
        <f t="array" ref="G39">macroCRDPReveal(A39,B39,F39,C39,D39)</f>
        <v>DENIED (CRDP)</v>
      </c>
    </row>
    <row r="40" spans="1:7" x14ac:dyDescent="0.25">
      <c r="A40" s="18" t="s">
        <v>122</v>
      </c>
      <c r="B40" s="9" t="s">
        <v>0</v>
      </c>
      <c r="C40" s="23" t="s">
        <v>50</v>
      </c>
      <c r="D40" s="24" t="s">
        <v>13</v>
      </c>
      <c r="F40" s="21" t="s">
        <v>119</v>
      </c>
      <c r="G40" s="16" t="str" cm="1">
        <f t="array" ref="G40">macroCRDPReveal(A40,B40,F40,C40,D40)</f>
        <v>DENIED (CRDP)</v>
      </c>
    </row>
    <row r="41" spans="1:7" x14ac:dyDescent="0.25">
      <c r="A41" s="18" t="s">
        <v>122</v>
      </c>
      <c r="B41" s="9" t="s">
        <v>0</v>
      </c>
      <c r="C41" s="23" t="s">
        <v>51</v>
      </c>
      <c r="D41" s="24" t="s">
        <v>13</v>
      </c>
      <c r="F41" s="21" t="s">
        <v>119</v>
      </c>
      <c r="G41" s="16" t="str" cm="1">
        <f t="array" ref="G41">macroCRDPReveal(A41,B41,F41,C41,D41)</f>
        <v>DENIED (CRDP)</v>
      </c>
    </row>
    <row r="42" spans="1:7" x14ac:dyDescent="0.25">
      <c r="A42" s="18" t="s">
        <v>122</v>
      </c>
      <c r="B42" s="9" t="s">
        <v>0</v>
      </c>
      <c r="C42" s="23" t="s">
        <v>52</v>
      </c>
      <c r="D42" s="24" t="s">
        <v>13</v>
      </c>
      <c r="F42" s="21" t="s">
        <v>119</v>
      </c>
      <c r="G42" s="16" t="str" cm="1">
        <f t="array" ref="G42">macroCRDPReveal(A42,B42,F42,C42,D42)</f>
        <v>DENIED (CRDP)</v>
      </c>
    </row>
    <row r="43" spans="1:7" x14ac:dyDescent="0.25">
      <c r="A43" s="18" t="s">
        <v>122</v>
      </c>
      <c r="B43" s="9" t="s">
        <v>0</v>
      </c>
      <c r="C43" s="23" t="s">
        <v>53</v>
      </c>
      <c r="D43" s="24" t="s">
        <v>13</v>
      </c>
      <c r="F43" s="21" t="s">
        <v>119</v>
      </c>
      <c r="G43" s="16" t="str" cm="1">
        <f t="array" ref="G43">macroCRDPReveal(A43,B43,F43,C43,D43)</f>
        <v>DENIED (CRDP)</v>
      </c>
    </row>
    <row r="44" spans="1:7" x14ac:dyDescent="0.25">
      <c r="A44" s="18" t="s">
        <v>122</v>
      </c>
      <c r="B44" s="9" t="s">
        <v>0</v>
      </c>
      <c r="C44" s="23" t="s">
        <v>54</v>
      </c>
      <c r="D44" s="24" t="s">
        <v>13</v>
      </c>
      <c r="F44" s="21" t="s">
        <v>119</v>
      </c>
      <c r="G44" s="16" t="str" cm="1">
        <f t="array" ref="G44">macroCRDPReveal(A44,B44,F44,C44,D44)</f>
        <v>DENIED (CRDP)</v>
      </c>
    </row>
    <row r="45" spans="1:7" x14ac:dyDescent="0.25">
      <c r="A45" s="18" t="s">
        <v>122</v>
      </c>
      <c r="B45" s="9" t="s">
        <v>0</v>
      </c>
      <c r="C45" s="23" t="s">
        <v>55</v>
      </c>
      <c r="D45" s="24" t="s">
        <v>13</v>
      </c>
      <c r="F45" s="21" t="s">
        <v>119</v>
      </c>
      <c r="G45" s="16" t="str" cm="1">
        <f t="array" ref="G45">macroCRDPReveal(A45,B45,F45,C45,D45)</f>
        <v>DENIED (CRDP)</v>
      </c>
    </row>
    <row r="46" spans="1:7" x14ac:dyDescent="0.25">
      <c r="A46" s="18" t="s">
        <v>122</v>
      </c>
      <c r="B46" s="9" t="s">
        <v>0</v>
      </c>
      <c r="C46" s="23" t="s">
        <v>56</v>
      </c>
      <c r="D46" s="24" t="s">
        <v>13</v>
      </c>
      <c r="F46" s="21" t="s">
        <v>119</v>
      </c>
      <c r="G46" s="16" t="str" cm="1">
        <f t="array" ref="G46">macroCRDPReveal(A46,B46,F46,C46,D46)</f>
        <v>DENIED (CRDP)</v>
      </c>
    </row>
    <row r="47" spans="1:7" x14ac:dyDescent="0.25">
      <c r="A47" s="18" t="s">
        <v>122</v>
      </c>
      <c r="B47" s="9" t="s">
        <v>0</v>
      </c>
      <c r="C47" s="23" t="s">
        <v>57</v>
      </c>
      <c r="D47" s="24" t="s">
        <v>13</v>
      </c>
      <c r="F47" s="21" t="s">
        <v>119</v>
      </c>
      <c r="G47" s="16" t="str" cm="1">
        <f t="array" ref="G47">macroCRDPReveal(A47,B47,F47,C47,D47)</f>
        <v>DENIED (CRDP)</v>
      </c>
    </row>
    <row r="48" spans="1:7" x14ac:dyDescent="0.25">
      <c r="A48" s="18" t="s">
        <v>122</v>
      </c>
      <c r="B48" s="9" t="s">
        <v>0</v>
      </c>
      <c r="C48" s="23" t="s">
        <v>58</v>
      </c>
      <c r="D48" s="24" t="s">
        <v>13</v>
      </c>
      <c r="F48" s="21" t="s">
        <v>119</v>
      </c>
      <c r="G48" s="16" t="str" cm="1">
        <f t="array" ref="G48">macroCRDPReveal(A48,B48,F48,C48,D48)</f>
        <v>DENIED (CRDP)</v>
      </c>
    </row>
    <row r="49" spans="1:7" x14ac:dyDescent="0.25">
      <c r="A49" s="18" t="s">
        <v>122</v>
      </c>
      <c r="B49" s="9" t="s">
        <v>0</v>
      </c>
      <c r="C49" s="23" t="s">
        <v>59</v>
      </c>
      <c r="D49" s="24" t="s">
        <v>13</v>
      </c>
      <c r="F49" s="21" t="s">
        <v>119</v>
      </c>
      <c r="G49" s="16" t="str" cm="1">
        <f t="array" ref="G49">macroCRDPReveal(A49,B49,F49,C49,D49)</f>
        <v>DENIED (CRDP)</v>
      </c>
    </row>
    <row r="50" spans="1:7" x14ac:dyDescent="0.25">
      <c r="A50" s="18" t="s">
        <v>122</v>
      </c>
      <c r="B50" s="9" t="s">
        <v>0</v>
      </c>
      <c r="C50" s="23" t="s">
        <v>60</v>
      </c>
      <c r="D50" s="24" t="s">
        <v>13</v>
      </c>
      <c r="F50" s="21" t="s">
        <v>119</v>
      </c>
      <c r="G50" s="16" t="str" cm="1">
        <f t="array" ref="G50">macroCRDPReveal(A50,B50,F50,C50,D50)</f>
        <v>DENIED (CRDP)</v>
      </c>
    </row>
    <row r="51" spans="1:7" x14ac:dyDescent="0.25">
      <c r="A51" s="18" t="s">
        <v>122</v>
      </c>
      <c r="B51" s="9" t="s">
        <v>0</v>
      </c>
      <c r="C51" s="23" t="s">
        <v>61</v>
      </c>
      <c r="D51" s="24" t="s">
        <v>13</v>
      </c>
      <c r="F51" s="21" t="s">
        <v>119</v>
      </c>
      <c r="G51" s="16" t="str" cm="1">
        <f t="array" ref="G51">macroCRDPReveal(A51,B51,F51,C51,D51)</f>
        <v>DENIED (CRDP)</v>
      </c>
    </row>
    <row r="52" spans="1:7" x14ac:dyDescent="0.25">
      <c r="A52" s="18" t="s">
        <v>122</v>
      </c>
      <c r="B52" s="9" t="s">
        <v>0</v>
      </c>
      <c r="C52" s="23" t="s">
        <v>62</v>
      </c>
      <c r="D52" s="24" t="s">
        <v>13</v>
      </c>
      <c r="F52" s="21" t="s">
        <v>119</v>
      </c>
      <c r="G52" s="16" t="str" cm="1">
        <f t="array" ref="G52">macroCRDPReveal(A52,B52,F52,C52,D52)</f>
        <v>DENIED (CRDP)</v>
      </c>
    </row>
    <row r="53" spans="1:7" x14ac:dyDescent="0.25">
      <c r="A53" s="18" t="s">
        <v>122</v>
      </c>
      <c r="B53" s="9" t="s">
        <v>0</v>
      </c>
      <c r="C53" s="23" t="s">
        <v>63</v>
      </c>
      <c r="D53" s="24" t="s">
        <v>13</v>
      </c>
      <c r="F53" s="21" t="s">
        <v>119</v>
      </c>
      <c r="G53" s="16" t="str" cm="1">
        <f t="array" ref="G53">macroCRDPReveal(A53,B53,F53,C53,D53)</f>
        <v>DENIED (CRDP)</v>
      </c>
    </row>
    <row r="54" spans="1:7" x14ac:dyDescent="0.25">
      <c r="A54" s="18" t="s">
        <v>122</v>
      </c>
      <c r="B54" s="9" t="s">
        <v>0</v>
      </c>
      <c r="C54" s="23" t="s">
        <v>64</v>
      </c>
      <c r="D54" s="24" t="s">
        <v>13</v>
      </c>
      <c r="F54" s="21" t="s">
        <v>119</v>
      </c>
      <c r="G54" s="16" t="str" cm="1">
        <f t="array" ref="G54">macroCRDPReveal(A54,B54,F54,C54,D54)</f>
        <v>DENIED (CRDP)</v>
      </c>
    </row>
    <row r="55" spans="1:7" x14ac:dyDescent="0.25">
      <c r="A55" s="18" t="s">
        <v>122</v>
      </c>
      <c r="B55" s="9" t="s">
        <v>0</v>
      </c>
      <c r="C55" s="23" t="s">
        <v>65</v>
      </c>
      <c r="D55" s="24" t="s">
        <v>13</v>
      </c>
      <c r="F55" s="21" t="s">
        <v>119</v>
      </c>
      <c r="G55" s="16" t="str" cm="1">
        <f t="array" ref="G55">macroCRDPReveal(A55,B55,F55,C55,D55)</f>
        <v>DENIED (CRDP)</v>
      </c>
    </row>
    <row r="56" spans="1:7" x14ac:dyDescent="0.25">
      <c r="A56" s="18" t="s">
        <v>122</v>
      </c>
      <c r="B56" s="9" t="s">
        <v>0</v>
      </c>
      <c r="C56" s="23" t="s">
        <v>66</v>
      </c>
      <c r="D56" s="24" t="s">
        <v>13</v>
      </c>
      <c r="F56" s="21" t="s">
        <v>119</v>
      </c>
      <c r="G56" s="16" t="str" cm="1">
        <f t="array" ref="G56">macroCRDPReveal(A56,B56,F56,C56,D56)</f>
        <v>DENIED (CRDP)</v>
      </c>
    </row>
    <row r="57" spans="1:7" x14ac:dyDescent="0.25">
      <c r="A57" s="18" t="s">
        <v>122</v>
      </c>
      <c r="B57" s="9" t="s">
        <v>0</v>
      </c>
      <c r="C57" s="23" t="s">
        <v>67</v>
      </c>
      <c r="D57" s="24" t="s">
        <v>13</v>
      </c>
      <c r="F57" s="21" t="s">
        <v>119</v>
      </c>
      <c r="G57" s="16" t="str" cm="1">
        <f t="array" ref="G57">macroCRDPReveal(A57,B57,F57,C57,D57)</f>
        <v>DENIED (CRDP)</v>
      </c>
    </row>
    <row r="58" spans="1:7" x14ac:dyDescent="0.25">
      <c r="A58" s="18" t="s">
        <v>122</v>
      </c>
      <c r="B58" s="9" t="s">
        <v>0</v>
      </c>
      <c r="C58" s="23" t="s">
        <v>68</v>
      </c>
      <c r="D58" s="24" t="s">
        <v>13</v>
      </c>
      <c r="F58" s="21" t="s">
        <v>119</v>
      </c>
      <c r="G58" s="16" t="str" cm="1">
        <f t="array" ref="G58">macroCRDPReveal(A58,B58,F58,C58,D58)</f>
        <v>DENIED (CRDP)</v>
      </c>
    </row>
    <row r="59" spans="1:7" x14ac:dyDescent="0.25">
      <c r="A59" s="18" t="s">
        <v>122</v>
      </c>
      <c r="B59" s="9" t="s">
        <v>0</v>
      </c>
      <c r="C59" s="23" t="s">
        <v>69</v>
      </c>
      <c r="D59" s="24" t="s">
        <v>13</v>
      </c>
      <c r="F59" s="21" t="s">
        <v>119</v>
      </c>
      <c r="G59" s="16" t="str" cm="1">
        <f t="array" ref="G59">macroCRDPReveal(A59,B59,F59,C59,D59)</f>
        <v>DENIED (CRDP)</v>
      </c>
    </row>
    <row r="60" spans="1:7" x14ac:dyDescent="0.25">
      <c r="A60" s="18" t="s">
        <v>122</v>
      </c>
      <c r="B60" s="9" t="s">
        <v>0</v>
      </c>
      <c r="C60" s="23" t="s">
        <v>70</v>
      </c>
      <c r="D60" s="24" t="s">
        <v>13</v>
      </c>
      <c r="F60" s="21" t="s">
        <v>119</v>
      </c>
      <c r="G60" s="16" t="str" cm="1">
        <f t="array" ref="G60">macroCRDPReveal(A60,B60,F60,C60,D60)</f>
        <v>DENIED (CRDP)</v>
      </c>
    </row>
    <row r="61" spans="1:7" x14ac:dyDescent="0.25">
      <c r="A61" s="18" t="s">
        <v>122</v>
      </c>
      <c r="B61" s="9" t="s">
        <v>0</v>
      </c>
      <c r="C61" s="23" t="s">
        <v>71</v>
      </c>
      <c r="D61" s="24" t="s">
        <v>13</v>
      </c>
      <c r="F61" s="21" t="s">
        <v>119</v>
      </c>
      <c r="G61" s="16" t="str" cm="1">
        <f t="array" ref="G61">macroCRDPReveal(A61,B61,F61,C61,D61)</f>
        <v>DENIED (CRDP)</v>
      </c>
    </row>
    <row r="62" spans="1:7" x14ac:dyDescent="0.25">
      <c r="A62" s="18" t="s">
        <v>122</v>
      </c>
      <c r="B62" s="9" t="s">
        <v>0</v>
      </c>
      <c r="C62" s="23" t="s">
        <v>72</v>
      </c>
      <c r="D62" s="24" t="s">
        <v>13</v>
      </c>
      <c r="F62" s="21" t="s">
        <v>119</v>
      </c>
      <c r="G62" s="16" t="str" cm="1">
        <f t="array" ref="G62">macroCRDPReveal(A62,B62,F62,C62,D62)</f>
        <v>DENIED (CRDP)</v>
      </c>
    </row>
    <row r="63" spans="1:7" x14ac:dyDescent="0.25">
      <c r="A63" s="18" t="s">
        <v>122</v>
      </c>
      <c r="B63" s="9" t="s">
        <v>0</v>
      </c>
      <c r="C63" s="23" t="s">
        <v>73</v>
      </c>
      <c r="D63" s="24" t="s">
        <v>13</v>
      </c>
      <c r="F63" s="21" t="s">
        <v>119</v>
      </c>
      <c r="G63" s="16" t="str" cm="1">
        <f t="array" ref="G63">macroCRDPReveal(A63,B63,F63,C63,D63)</f>
        <v>DENIED (CRDP)</v>
      </c>
    </row>
    <row r="64" spans="1:7" x14ac:dyDescent="0.25">
      <c r="A64" s="18" t="s">
        <v>122</v>
      </c>
      <c r="B64" s="9" t="s">
        <v>0</v>
      </c>
      <c r="C64" s="23" t="s">
        <v>74</v>
      </c>
      <c r="D64" s="24" t="s">
        <v>13</v>
      </c>
      <c r="F64" s="21" t="s">
        <v>119</v>
      </c>
      <c r="G64" s="16" t="str" cm="1">
        <f t="array" ref="G64">macroCRDPReveal(A64,B64,F64,C64,D64)</f>
        <v>DENIED (CRDP)</v>
      </c>
    </row>
    <row r="65" spans="1:7" x14ac:dyDescent="0.25">
      <c r="A65" s="18" t="s">
        <v>122</v>
      </c>
      <c r="B65" s="9" t="s">
        <v>0</v>
      </c>
      <c r="C65" s="23" t="s">
        <v>75</v>
      </c>
      <c r="D65" s="24" t="s">
        <v>13</v>
      </c>
      <c r="F65" s="21" t="s">
        <v>119</v>
      </c>
      <c r="G65" s="16" t="str" cm="1">
        <f t="array" ref="G65">macroCRDPReveal(A65,B65,F65,C65,D65)</f>
        <v>DENIED (CRDP)</v>
      </c>
    </row>
    <row r="66" spans="1:7" x14ac:dyDescent="0.25">
      <c r="A66" s="18" t="s">
        <v>122</v>
      </c>
      <c r="B66" s="9" t="s">
        <v>0</v>
      </c>
      <c r="C66" s="23" t="s">
        <v>76</v>
      </c>
      <c r="D66" s="24" t="s">
        <v>13</v>
      </c>
      <c r="F66" s="21" t="s">
        <v>119</v>
      </c>
      <c r="G66" s="16" t="str" cm="1">
        <f t="array" ref="G66">macroCRDPReveal(A66,B66,F66,C66,D66)</f>
        <v>DENIED (CRDP)</v>
      </c>
    </row>
    <row r="67" spans="1:7" x14ac:dyDescent="0.25">
      <c r="A67" s="18" t="s">
        <v>122</v>
      </c>
      <c r="B67" s="9" t="s">
        <v>0</v>
      </c>
      <c r="C67" s="23" t="s">
        <v>77</v>
      </c>
      <c r="D67" s="24" t="s">
        <v>13</v>
      </c>
      <c r="F67" s="21" t="s">
        <v>119</v>
      </c>
      <c r="G67" s="16" t="str" cm="1">
        <f t="array" ref="G67">macroCRDPReveal(A67,B67,F67,C67,D67)</f>
        <v>DENIED (CRDP)</v>
      </c>
    </row>
    <row r="68" spans="1:7" x14ac:dyDescent="0.25">
      <c r="A68" s="18" t="s">
        <v>122</v>
      </c>
      <c r="B68" s="9" t="s">
        <v>0</v>
      </c>
      <c r="C68" s="23" t="s">
        <v>78</v>
      </c>
      <c r="D68" s="24" t="s">
        <v>13</v>
      </c>
      <c r="F68" s="21" t="s">
        <v>119</v>
      </c>
      <c r="G68" s="16" t="str" cm="1">
        <f t="array" ref="G68">macroCRDPReveal(A68,B68,F68,C68,D68)</f>
        <v>DENIED (CRDP)</v>
      </c>
    </row>
    <row r="69" spans="1:7" x14ac:dyDescent="0.25">
      <c r="A69" s="18" t="s">
        <v>122</v>
      </c>
      <c r="B69" s="9" t="s">
        <v>0</v>
      </c>
      <c r="C69" s="23" t="s">
        <v>79</v>
      </c>
      <c r="D69" s="24" t="s">
        <v>13</v>
      </c>
      <c r="F69" s="21" t="s">
        <v>119</v>
      </c>
      <c r="G69" s="16" t="str" cm="1">
        <f t="array" ref="G69">macroCRDPReveal(A69,B69,F69,C69,D69)</f>
        <v>DENIED (CRDP)</v>
      </c>
    </row>
    <row r="70" spans="1:7" x14ac:dyDescent="0.25">
      <c r="A70" s="18" t="s">
        <v>122</v>
      </c>
      <c r="B70" s="9" t="s">
        <v>0</v>
      </c>
      <c r="C70" s="23" t="s">
        <v>80</v>
      </c>
      <c r="D70" s="24" t="s">
        <v>13</v>
      </c>
      <c r="F70" s="21" t="s">
        <v>119</v>
      </c>
      <c r="G70" s="16" t="str" cm="1">
        <f t="array" ref="G70">macroCRDPReveal(A70,B70,F70,C70,D70)</f>
        <v>DENIED (CRDP)</v>
      </c>
    </row>
    <row r="71" spans="1:7" x14ac:dyDescent="0.25">
      <c r="A71" s="18" t="s">
        <v>122</v>
      </c>
      <c r="B71" s="9" t="s">
        <v>0</v>
      </c>
      <c r="C71" s="23" t="s">
        <v>81</v>
      </c>
      <c r="D71" s="24" t="s">
        <v>13</v>
      </c>
      <c r="F71" s="21" t="s">
        <v>119</v>
      </c>
      <c r="G71" s="16" t="str" cm="1">
        <f t="array" ref="G71">macroCRDPReveal(A71,B71,F71,C71,D71)</f>
        <v>DENIED (CRDP)</v>
      </c>
    </row>
    <row r="72" spans="1:7" x14ac:dyDescent="0.25">
      <c r="A72" s="18" t="s">
        <v>122</v>
      </c>
      <c r="B72" s="9" t="s">
        <v>0</v>
      </c>
      <c r="C72" s="23" t="s">
        <v>82</v>
      </c>
      <c r="D72" s="24" t="s">
        <v>13</v>
      </c>
      <c r="F72" s="21" t="s">
        <v>119</v>
      </c>
      <c r="G72" s="16" t="str" cm="1">
        <f t="array" ref="G72">macroCRDPReveal(A72,B72,F72,C72,D72)</f>
        <v>DENIED (CRDP)</v>
      </c>
    </row>
    <row r="73" spans="1:7" x14ac:dyDescent="0.25">
      <c r="A73" s="18" t="s">
        <v>122</v>
      </c>
      <c r="B73" s="9" t="s">
        <v>0</v>
      </c>
      <c r="C73" s="23" t="s">
        <v>83</v>
      </c>
      <c r="D73" s="24" t="s">
        <v>13</v>
      </c>
      <c r="F73" s="21" t="s">
        <v>119</v>
      </c>
      <c r="G73" s="16" t="str" cm="1">
        <f t="array" ref="G73">macroCRDPReveal(A73,B73,F73,C73,D73)</f>
        <v>DENIED (CRDP)</v>
      </c>
    </row>
    <row r="74" spans="1:7" x14ac:dyDescent="0.25">
      <c r="A74" s="18" t="s">
        <v>122</v>
      </c>
      <c r="B74" s="9" t="s">
        <v>0</v>
      </c>
      <c r="C74" s="23" t="s">
        <v>84</v>
      </c>
      <c r="D74" s="24" t="s">
        <v>13</v>
      </c>
      <c r="F74" s="21" t="s">
        <v>119</v>
      </c>
      <c r="G74" s="16" t="str" cm="1">
        <f t="array" ref="G74">macroCRDPReveal(A74,B74,F74,C74,D74)</f>
        <v>DENIED (CRDP)</v>
      </c>
    </row>
    <row r="75" spans="1:7" x14ac:dyDescent="0.25">
      <c r="A75" s="18" t="s">
        <v>122</v>
      </c>
      <c r="B75" s="9" t="s">
        <v>0</v>
      </c>
      <c r="C75" s="23" t="s">
        <v>85</v>
      </c>
      <c r="D75" s="24" t="s">
        <v>13</v>
      </c>
      <c r="F75" s="21" t="s">
        <v>119</v>
      </c>
      <c r="G75" s="16" t="str" cm="1">
        <f t="array" ref="G75">macroCRDPReveal(A75,B75,F75,C75,D75)</f>
        <v>DENIED (CRDP)</v>
      </c>
    </row>
    <row r="76" spans="1:7" x14ac:dyDescent="0.25">
      <c r="A76" s="18" t="s">
        <v>122</v>
      </c>
      <c r="B76" s="9" t="s">
        <v>0</v>
      </c>
      <c r="C76" s="23" t="s">
        <v>86</v>
      </c>
      <c r="D76" s="24" t="s">
        <v>13</v>
      </c>
      <c r="F76" s="21" t="s">
        <v>119</v>
      </c>
      <c r="G76" s="16" t="str" cm="1">
        <f t="array" ref="G76">macroCRDPReveal(A76,B76,F76,C76,D76)</f>
        <v>DENIED (CRDP)</v>
      </c>
    </row>
    <row r="77" spans="1:7" x14ac:dyDescent="0.25">
      <c r="A77" s="18" t="s">
        <v>122</v>
      </c>
      <c r="B77" s="9" t="s">
        <v>0</v>
      </c>
      <c r="C77" s="23" t="s">
        <v>87</v>
      </c>
      <c r="D77" s="24" t="s">
        <v>13</v>
      </c>
      <c r="F77" s="21" t="s">
        <v>119</v>
      </c>
      <c r="G77" s="16" t="str" cm="1">
        <f t="array" ref="G77">macroCRDPReveal(A77,B77,F77,C77,D77)</f>
        <v>DENIED (CRDP)</v>
      </c>
    </row>
    <row r="78" spans="1:7" x14ac:dyDescent="0.25">
      <c r="A78" s="18" t="s">
        <v>122</v>
      </c>
      <c r="B78" s="9" t="s">
        <v>0</v>
      </c>
      <c r="C78" s="23" t="s">
        <v>88</v>
      </c>
      <c r="D78" s="24" t="s">
        <v>13</v>
      </c>
      <c r="F78" s="21" t="s">
        <v>119</v>
      </c>
      <c r="G78" s="16" t="str" cm="1">
        <f t="array" ref="G78">macroCRDPReveal(A78,B78,F78,C78,D78)</f>
        <v>DENIED (CRDP)</v>
      </c>
    </row>
    <row r="79" spans="1:7" x14ac:dyDescent="0.25">
      <c r="A79" s="18" t="s">
        <v>122</v>
      </c>
      <c r="B79" s="9" t="s">
        <v>0</v>
      </c>
      <c r="C79" s="23" t="s">
        <v>89</v>
      </c>
      <c r="D79" s="24" t="s">
        <v>13</v>
      </c>
      <c r="F79" s="21" t="s">
        <v>119</v>
      </c>
      <c r="G79" s="16" t="str" cm="1">
        <f t="array" ref="G79">macroCRDPReveal(A79,B79,F79,C79,D79)</f>
        <v>DENIED (CRDP)</v>
      </c>
    </row>
    <row r="80" spans="1:7" x14ac:dyDescent="0.25">
      <c r="A80" s="18" t="s">
        <v>122</v>
      </c>
      <c r="B80" s="9" t="s">
        <v>0</v>
      </c>
      <c r="C80" s="23" t="s">
        <v>90</v>
      </c>
      <c r="D80" s="24" t="s">
        <v>13</v>
      </c>
      <c r="F80" s="21" t="s">
        <v>119</v>
      </c>
      <c r="G80" s="16" t="str" cm="1">
        <f t="array" ref="G80">macroCRDPReveal(A80,B80,F80,C80,D80)</f>
        <v>DENIED (CRDP)</v>
      </c>
    </row>
    <row r="81" spans="1:7" x14ac:dyDescent="0.25">
      <c r="A81" s="18" t="s">
        <v>122</v>
      </c>
      <c r="B81" s="9" t="s">
        <v>0</v>
      </c>
      <c r="C81" s="23" t="s">
        <v>91</v>
      </c>
      <c r="D81" s="24" t="s">
        <v>13</v>
      </c>
      <c r="F81" s="21" t="s">
        <v>119</v>
      </c>
      <c r="G81" s="16" t="str" cm="1">
        <f t="array" ref="G81">macroCRDPReveal(A81,B81,F81,C81,D81)</f>
        <v>DENIED (CRDP)</v>
      </c>
    </row>
    <row r="82" spans="1:7" x14ac:dyDescent="0.25">
      <c r="A82" s="18" t="s">
        <v>122</v>
      </c>
      <c r="B82" s="9" t="s">
        <v>0</v>
      </c>
      <c r="C82" s="23" t="s">
        <v>92</v>
      </c>
      <c r="D82" s="24" t="s">
        <v>13</v>
      </c>
      <c r="F82" s="21" t="s">
        <v>119</v>
      </c>
      <c r="G82" s="16" t="str" cm="1">
        <f t="array" ref="G82">macroCRDPReveal(A82,B82,F82,C82,D82)</f>
        <v>DENIED (CRDP)</v>
      </c>
    </row>
    <row r="83" spans="1:7" x14ac:dyDescent="0.25">
      <c r="A83" s="18" t="s">
        <v>122</v>
      </c>
      <c r="B83" s="9" t="s">
        <v>0</v>
      </c>
      <c r="C83" s="23" t="s">
        <v>93</v>
      </c>
      <c r="D83" s="24" t="s">
        <v>13</v>
      </c>
      <c r="F83" s="21" t="s">
        <v>119</v>
      </c>
      <c r="G83" s="16" t="str" cm="1">
        <f t="array" ref="G83">macroCRDPReveal(A83,B83,F83,C83,D83)</f>
        <v>DENIED (CRDP)</v>
      </c>
    </row>
    <row r="84" spans="1:7" x14ac:dyDescent="0.25">
      <c r="A84" s="18" t="s">
        <v>122</v>
      </c>
      <c r="B84" s="9" t="s">
        <v>0</v>
      </c>
      <c r="C84" s="23" t="s">
        <v>94</v>
      </c>
      <c r="D84" s="24" t="s">
        <v>13</v>
      </c>
      <c r="F84" s="21" t="s">
        <v>119</v>
      </c>
      <c r="G84" s="16" t="str" cm="1">
        <f t="array" ref="G84">macroCRDPReveal(A84,B84,F84,C84,D84)</f>
        <v>DENIED (CRDP)</v>
      </c>
    </row>
    <row r="85" spans="1:7" x14ac:dyDescent="0.25">
      <c r="A85" s="18" t="s">
        <v>122</v>
      </c>
      <c r="B85" s="9" t="s">
        <v>0</v>
      </c>
      <c r="C85" s="23" t="s">
        <v>95</v>
      </c>
      <c r="D85" s="24" t="s">
        <v>13</v>
      </c>
      <c r="F85" s="21" t="s">
        <v>119</v>
      </c>
      <c r="G85" s="16" t="str" cm="1">
        <f t="array" ref="G85">macroCRDPReveal(A85,B85,F85,C85,D85)</f>
        <v>DENIED (CRDP)</v>
      </c>
    </row>
    <row r="86" spans="1:7" x14ac:dyDescent="0.25">
      <c r="A86" s="18" t="s">
        <v>122</v>
      </c>
      <c r="B86" s="9" t="s">
        <v>0</v>
      </c>
      <c r="C86" s="23" t="s">
        <v>96</v>
      </c>
      <c r="D86" s="24" t="s">
        <v>13</v>
      </c>
      <c r="F86" s="21" t="s">
        <v>119</v>
      </c>
      <c r="G86" s="16" t="str" cm="1">
        <f t="array" ref="G86">macroCRDPReveal(A86,B86,F86,C86,D86)</f>
        <v>DENIED (CRDP)</v>
      </c>
    </row>
    <row r="87" spans="1:7" x14ac:dyDescent="0.25">
      <c r="A87" s="18" t="s">
        <v>122</v>
      </c>
      <c r="B87" s="9" t="s">
        <v>0</v>
      </c>
      <c r="C87" s="23" t="s">
        <v>97</v>
      </c>
      <c r="D87" s="24" t="s">
        <v>13</v>
      </c>
      <c r="F87" s="21" t="s">
        <v>119</v>
      </c>
      <c r="G87" s="16" t="str" cm="1">
        <f t="array" ref="G87">macroCRDPReveal(A87,B87,F87,C87,D87)</f>
        <v>DENIED (CRDP)</v>
      </c>
    </row>
    <row r="88" spans="1:7" x14ac:dyDescent="0.25">
      <c r="A88" s="18" t="s">
        <v>122</v>
      </c>
      <c r="B88" s="9" t="s">
        <v>0</v>
      </c>
      <c r="C88" s="23" t="s">
        <v>98</v>
      </c>
      <c r="D88" s="24" t="s">
        <v>13</v>
      </c>
      <c r="F88" s="21" t="s">
        <v>119</v>
      </c>
      <c r="G88" s="16" t="str" cm="1">
        <f t="array" ref="G88">macroCRDPReveal(A88,B88,F88,C88,D88)</f>
        <v>DENIED (CRDP)</v>
      </c>
    </row>
    <row r="89" spans="1:7" x14ac:dyDescent="0.25">
      <c r="A89" s="18" t="s">
        <v>122</v>
      </c>
      <c r="B89" s="9" t="s">
        <v>0</v>
      </c>
      <c r="C89" s="23" t="s">
        <v>99</v>
      </c>
      <c r="D89" s="24" t="s">
        <v>13</v>
      </c>
      <c r="F89" s="21" t="s">
        <v>119</v>
      </c>
      <c r="G89" s="16" t="str" cm="1">
        <f t="array" ref="G89">macroCRDPReveal(A89,B89,F89,C89,D89)</f>
        <v>DENIED (CRDP)</v>
      </c>
    </row>
    <row r="90" spans="1:7" x14ac:dyDescent="0.25">
      <c r="A90" s="18" t="s">
        <v>122</v>
      </c>
      <c r="B90" s="9" t="s">
        <v>0</v>
      </c>
      <c r="C90" s="23" t="s">
        <v>100</v>
      </c>
      <c r="D90" s="24" t="s">
        <v>13</v>
      </c>
      <c r="F90" s="21" t="s">
        <v>119</v>
      </c>
      <c r="G90" s="16" t="str" cm="1">
        <f t="array" ref="G90">macroCRDPReveal(A90,B90,F90,C90,D90)</f>
        <v>DENIED (CRDP)</v>
      </c>
    </row>
    <row r="91" spans="1:7" x14ac:dyDescent="0.25">
      <c r="A91" s="18" t="s">
        <v>122</v>
      </c>
      <c r="B91" s="9" t="s">
        <v>0</v>
      </c>
      <c r="C91" s="23" t="s">
        <v>101</v>
      </c>
      <c r="D91" s="24" t="s">
        <v>13</v>
      </c>
      <c r="F91" s="21" t="s">
        <v>119</v>
      </c>
      <c r="G91" s="16" t="str" cm="1">
        <f t="array" ref="G91">macroCRDPReveal(A91,B91,F91,C91,D91)</f>
        <v>DENIED (CRDP)</v>
      </c>
    </row>
    <row r="92" spans="1:7" x14ac:dyDescent="0.25">
      <c r="A92" s="18" t="s">
        <v>122</v>
      </c>
      <c r="B92" s="9" t="s">
        <v>0</v>
      </c>
      <c r="C92" s="23" t="s">
        <v>102</v>
      </c>
      <c r="D92" s="24" t="s">
        <v>13</v>
      </c>
      <c r="F92" s="21" t="s">
        <v>119</v>
      </c>
      <c r="G92" s="16" t="str" cm="1">
        <f t="array" ref="G92">macroCRDPReveal(A92,B92,F92,C92,D92)</f>
        <v>DENIED (CRDP)</v>
      </c>
    </row>
    <row r="93" spans="1:7" x14ac:dyDescent="0.25">
      <c r="A93" s="18" t="s">
        <v>122</v>
      </c>
      <c r="B93" s="9" t="s">
        <v>0</v>
      </c>
      <c r="C93" s="23" t="s">
        <v>103</v>
      </c>
      <c r="D93" s="24" t="s">
        <v>13</v>
      </c>
      <c r="F93" s="21" t="s">
        <v>119</v>
      </c>
      <c r="G93" s="16" t="str" cm="1">
        <f t="array" ref="G93">macroCRDPReveal(A93,B93,F93,C93,D93)</f>
        <v>DENIED (CRDP)</v>
      </c>
    </row>
    <row r="94" spans="1:7" x14ac:dyDescent="0.25">
      <c r="A94" s="18" t="s">
        <v>122</v>
      </c>
      <c r="B94" s="9" t="s">
        <v>0</v>
      </c>
      <c r="C94" s="23" t="s">
        <v>104</v>
      </c>
      <c r="D94" s="24" t="s">
        <v>13</v>
      </c>
      <c r="F94" s="21" t="s">
        <v>119</v>
      </c>
      <c r="G94" s="16" t="str" cm="1">
        <f t="array" ref="G94">macroCRDPReveal(A94,B94,F94,C94,D94)</f>
        <v>DENIED (CRDP)</v>
      </c>
    </row>
    <row r="95" spans="1:7" x14ac:dyDescent="0.25">
      <c r="A95" s="18" t="s">
        <v>122</v>
      </c>
      <c r="B95" s="9" t="s">
        <v>0</v>
      </c>
      <c r="C95" s="23" t="s">
        <v>105</v>
      </c>
      <c r="D95" s="24" t="s">
        <v>13</v>
      </c>
      <c r="F95" s="21" t="s">
        <v>119</v>
      </c>
      <c r="G95" s="16" t="str" cm="1">
        <f t="array" ref="G95">macroCRDPReveal(A95,B95,F95,C95,D95)</f>
        <v>DENIED (CRDP)</v>
      </c>
    </row>
    <row r="96" spans="1:7" x14ac:dyDescent="0.25">
      <c r="A96" s="18" t="s">
        <v>122</v>
      </c>
      <c r="B96" s="9" t="s">
        <v>0</v>
      </c>
      <c r="C96" s="23" t="s">
        <v>106</v>
      </c>
      <c r="D96" s="24" t="s">
        <v>13</v>
      </c>
      <c r="F96" s="21" t="s">
        <v>119</v>
      </c>
      <c r="G96" s="16" t="str" cm="1">
        <f t="array" ref="G96">macroCRDPReveal(A96,B96,F96,C96,D96)</f>
        <v>DENIED (CRDP)</v>
      </c>
    </row>
    <row r="97" spans="1:7" x14ac:dyDescent="0.25">
      <c r="A97" s="18" t="s">
        <v>122</v>
      </c>
      <c r="B97" s="9" t="s">
        <v>0</v>
      </c>
      <c r="C97" s="23" t="s">
        <v>107</v>
      </c>
      <c r="D97" s="24" t="s">
        <v>13</v>
      </c>
      <c r="F97" s="21" t="s">
        <v>119</v>
      </c>
      <c r="G97" s="16" t="str" cm="1">
        <f t="array" ref="G97">macroCRDPReveal(A97,B97,F97,C97,D97)</f>
        <v>DENIED (CRDP)</v>
      </c>
    </row>
    <row r="98" spans="1:7" x14ac:dyDescent="0.25">
      <c r="A98" s="18" t="s">
        <v>122</v>
      </c>
      <c r="B98" s="9" t="s">
        <v>0</v>
      </c>
      <c r="C98" s="23" t="s">
        <v>108</v>
      </c>
      <c r="D98" s="24" t="s">
        <v>13</v>
      </c>
      <c r="F98" s="21" t="s">
        <v>119</v>
      </c>
      <c r="G98" s="16" t="str" cm="1">
        <f t="array" ref="G98">macroCRDPReveal(A98,B98,F98,C98,D98)</f>
        <v>DENIED (CRDP)</v>
      </c>
    </row>
    <row r="99" spans="1:7" x14ac:dyDescent="0.25">
      <c r="A99" s="18" t="s">
        <v>122</v>
      </c>
      <c r="B99" s="9" t="s">
        <v>0</v>
      </c>
      <c r="C99" s="23" t="s">
        <v>109</v>
      </c>
      <c r="D99" s="24" t="s">
        <v>13</v>
      </c>
      <c r="F99" s="21" t="s">
        <v>119</v>
      </c>
      <c r="G99" s="16" t="str" cm="1">
        <f t="array" ref="G99">macroCRDPReveal(A99,B99,F99,C99,D99)</f>
        <v>DENIED (CRDP)</v>
      </c>
    </row>
    <row r="100" spans="1:7" x14ac:dyDescent="0.25">
      <c r="A100" s="18" t="s">
        <v>122</v>
      </c>
      <c r="B100" s="9" t="s">
        <v>0</v>
      </c>
      <c r="C100" s="23" t="s">
        <v>110</v>
      </c>
      <c r="D100" s="24" t="s">
        <v>13</v>
      </c>
      <c r="F100" s="21" t="s">
        <v>119</v>
      </c>
      <c r="G100" s="16" t="str" cm="1">
        <f t="array" ref="G100">macroCRDPReveal(A100,B100,F100,C100,D100)</f>
        <v>DENIED (CRDP)</v>
      </c>
    </row>
  </sheetData>
  <pageMargins left="0.7" right="0.7" top="0.75" bottom="0.75" header="0.3" footer="0.3"/>
  <pageSetup orientation="portrait" r:id="rId1"/>
  <headerFooter>
    <oddFooter>&amp;C&amp;1#&amp;"Calibri"&amp;10&amp;K008000THALES GROUP LIMITED DISTRIBUTION - SCOPE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636F174-4875-4B7E-88FB-F77F9ACAFEA8}">
          <x14:formula1>
            <xm:f>Policies!$A$2:$A$3</xm:f>
          </x14:formula1>
          <xm:sqref>B2:B100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CEDE6-CE06-45CE-A378-CE0924FC7852}">
  <dimension ref="A1:A3"/>
  <sheetViews>
    <sheetView workbookViewId="0">
      <selection activeCell="H12" sqref="H12"/>
    </sheetView>
  </sheetViews>
  <sheetFormatPr defaultRowHeight="15" x14ac:dyDescent="0.25"/>
  <cols>
    <col min="1" max="1" width="26.140625" customWidth="1"/>
  </cols>
  <sheetData>
    <row r="1" spans="1:1" x14ac:dyDescent="0.25">
      <c r="A1" s="28" t="s">
        <v>118</v>
      </c>
    </row>
    <row r="2" spans="1:1" x14ac:dyDescent="0.25">
      <c r="A2" t="s">
        <v>0</v>
      </c>
    </row>
    <row r="3" spans="1:1" x14ac:dyDescent="0.25">
      <c r="A3" t="s">
        <v>114</v>
      </c>
    </row>
  </sheetData>
  <pageMargins left="0.7" right="0.7" top="0.75" bottom="0.75" header="0.3" footer="0.3"/>
  <pageSetup orientation="portrait" r:id="rId1"/>
  <headerFooter>
    <oddFooter>&amp;C&amp;1#&amp;"Calibri"&amp;10&amp;K008000THALES GROUP LIMITED DISTRIBUTION - SCOPE</oddFooter>
  </headerFooter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E54BA83-9262-41D8-B516-31307EAD491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Protect Only</vt:lpstr>
      <vt:lpstr>Reveal Only</vt:lpstr>
      <vt:lpstr>Policies</vt:lpstr>
    </vt:vector>
  </TitlesOfParts>
  <Company>Thales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Rick Robinson</dc:creator>
  <cp:lastModifiedBy>Rick Robinson</cp:lastModifiedBy>
  <dcterms:created xsi:type="dcterms:W3CDTF">2024-08-27T14:25:07Z</dcterms:created>
  <dcterms:modified xsi:type="dcterms:W3CDTF">2024-09-05T20:12:15Z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6c1d335-5221-4a6a-889f-c684b2c8474c_Enabled">
    <vt:lpwstr>true</vt:lpwstr>
  </property>
  <property fmtid="{D5CDD505-2E9C-101B-9397-08002B2CF9AE}" pid="3" name="MSIP_Label_c6c1d335-5221-4a6a-889f-c684b2c8474c_SetDate">
    <vt:lpwstr>2024-09-05T20:12:15Z</vt:lpwstr>
  </property>
  <property fmtid="{D5CDD505-2E9C-101B-9397-08002B2CF9AE}" pid="4" name="MSIP_Label_c6c1d335-5221-4a6a-889f-c684b2c8474c_Method">
    <vt:lpwstr>Standard</vt:lpwstr>
  </property>
  <property fmtid="{D5CDD505-2E9C-101B-9397-08002B2CF9AE}" pid="5" name="MSIP_Label_c6c1d335-5221-4a6a-889f-c684b2c8474c_Name">
    <vt:lpwstr>DIS Limited Distribution Scope</vt:lpwstr>
  </property>
  <property fmtid="{D5CDD505-2E9C-101B-9397-08002B2CF9AE}" pid="6" name="MSIP_Label_c6c1d335-5221-4a6a-889f-c684b2c8474c_SiteId">
    <vt:lpwstr>6e603289-5e46-4e26-ac7c-03a85420a9a5</vt:lpwstr>
  </property>
  <property fmtid="{D5CDD505-2E9C-101B-9397-08002B2CF9AE}" pid="7" name="MSIP_Label_c6c1d335-5221-4a6a-889f-c684b2c8474c_ActionId">
    <vt:lpwstr>4b931f42-0df7-4dd5-84c3-9b88ba21edf3</vt:lpwstr>
  </property>
  <property fmtid="{D5CDD505-2E9C-101B-9397-08002B2CF9AE}" pid="8" name="MSIP_Label_c6c1d335-5221-4a6a-889f-c684b2c8474c_ContentBits">
    <vt:lpwstr>3</vt:lpwstr>
  </property>
</Properties>
</file>